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ycon Gaming Night\Documents\AeroSys\aircraft_modules\Resources\Homeworks\"/>
    </mc:Choice>
  </mc:AlternateContent>
  <xr:revisionPtr revIDLastSave="0" documentId="13_ncr:1_{74183EBA-6F56-4E13-8323-8BBD59F8077C}" xr6:coauthVersionLast="47" xr6:coauthVersionMax="47" xr10:uidLastSave="{00000000-0000-0000-0000-000000000000}"/>
  <bookViews>
    <workbookView xWindow="28680" yWindow="2640" windowWidth="24240" windowHeight="13140" tabRatio="702" firstSheet="3" activeTab="8" xr2:uid="{00000000-000D-0000-FFFF-FFFF00000000}"/>
  </bookViews>
  <sheets>
    <sheet name="Table Key" sheetId="61" r:id="rId1"/>
    <sheet name="Atmospheric Table" sheetId="62" r:id="rId2"/>
    <sheet name="BD-5J Details" sheetId="68" r:id="rId3"/>
    <sheet name="HW#7 Calculations" sheetId="69" r:id="rId4"/>
    <sheet name="HW#8 Calculations" sheetId="72" r:id="rId5"/>
    <sheet name="HW#9 Calculations" sheetId="78" r:id="rId6"/>
    <sheet name="HW#10 Calculations" sheetId="79" r:id="rId7"/>
    <sheet name="10.c) Thrust Graphs SL" sheetId="80" r:id="rId8"/>
    <sheet name="10.c) Thrust Graphs 10k" sheetId="81" r:id="rId9"/>
  </sheets>
  <functionGroups builtInGroupCount="19"/>
  <definedNames>
    <definedName name="atmos_aspeed">'Atmospheric Table'!$M$2:$M$63</definedName>
    <definedName name="atmos_dr">'Atmospheric Table'!$I$2:$I$63</definedName>
    <definedName name="atmos_h">'Atmospheric Table'!$A$2:$A$63</definedName>
    <definedName name="atmos_qms">'Atmospheric Table'!$K$2:$K$63</definedName>
    <definedName name="atmos_rho">'Atmospheric Table'!$H$2:$H$63</definedName>
    <definedName name="atmos_sqrtdr">'Atmospheric Table'!$J$2:$J$63</definedName>
    <definedName name="atmos_vela">'Atmospheric Table'!$N$2:$N$63</definedName>
    <definedName name="b" comment="Wing Span ">'BD-5J Details'!$D$4</definedName>
    <definedName name="CD0">'BD-5J Details'!$G$14</definedName>
    <definedName name="CL_max" comment="For BD-5J">'BD-5J Details'!$G$10</definedName>
    <definedName name="g">'HW#9 Calculations'!$C$20</definedName>
    <definedName name="K">'BD-5J Details'!$G$15</definedName>
    <definedName name="max_CL" comment="Max Lift Coefficient no flaps">'BD-5J Details'!$G$10</definedName>
    <definedName name="max_n" comment="Max Load Factor (g's)">'BD-5J Details'!$D$7</definedName>
    <definedName name="min_n" comment="Min Load Factor (g's)">'BD-5J Details'!$D$8</definedName>
    <definedName name="S" comment="Reference/wing  Area ">'BD-5J Details'!$D$5</definedName>
    <definedName name="T_max_SL" comment="Max Thrust at Sea Level (lbs)">'BD-5J Details'!$H$8</definedName>
    <definedName name="V_1">'HW#9 Calculations'!$C$23</definedName>
    <definedName name="V_2">'HW#9 Calculations'!$C$24</definedName>
    <definedName name="vel_10k">'HW#8 Calculations'!$S$5:$S$53</definedName>
    <definedName name="vel_10k_D">'HW#8 Calculations'!$W$5:$W$53</definedName>
    <definedName name="vel_SL">'HW#8 Calculations'!$I$5:$I$53</definedName>
    <definedName name="vel_SL_D" comment="Drag of BD-5J at Sea Level according to Vel">'HW#8 Calculations'!$M$5:$M$53</definedName>
    <definedName name="W" comment="aircraft calc weight">'BD-5J Details'!$H$6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" i="79" l="1"/>
  <c r="I6" i="79"/>
  <c r="E15" i="79" a="1"/>
  <c r="D15" i="79" a="1"/>
  <c r="E8" i="79" a="1"/>
  <c r="B19" i="79" a="1"/>
  <c r="D6" i="79" a="1"/>
  <c r="J6" i="79" a="1"/>
  <c r="E15" i="79" l="1"/>
  <c r="D15" i="79"/>
  <c r="E8" i="79"/>
  <c r="B19" i="79"/>
  <c r="D6" i="79"/>
  <c r="J6" i="79"/>
  <c r="D13" i="78" l="1"/>
  <c r="D6" i="72"/>
  <c r="B18" i="79" a="1"/>
  <c r="E11" i="79" a="1"/>
  <c r="D8" i="79" a="1"/>
  <c r="E6" i="79" a="1"/>
  <c r="D11" i="79" a="1"/>
  <c r="E13" i="79" l="1"/>
  <c r="B18" i="79"/>
  <c r="E11" i="79"/>
  <c r="E6" i="79"/>
  <c r="D11" i="79"/>
  <c r="D8" i="79"/>
  <c r="D6" i="78"/>
  <c r="D9" i="78" s="1"/>
  <c r="C24" i="78"/>
  <c r="C23" i="78"/>
  <c r="D13" i="72"/>
  <c r="D22" i="72"/>
  <c r="E15" i="72"/>
  <c r="D15" i="72"/>
  <c r="E10" i="72"/>
  <c r="D10" i="72"/>
  <c r="E6" i="72"/>
  <c r="M2" i="72" a="1"/>
  <c r="E7" i="79" a="1"/>
  <c r="D14" i="79" a="1"/>
  <c r="D10" i="78" a="1"/>
  <c r="E9" i="79" a="1"/>
  <c r="E22" i="72" a="1"/>
  <c r="D9" i="79" a="1"/>
  <c r="E13" i="72" a="1"/>
  <c r="D7" i="79" a="1"/>
  <c r="W2" i="72" a="1"/>
  <c r="E14" i="79" a="1"/>
  <c r="E12" i="79" a="1"/>
  <c r="D12" i="79" a="1"/>
  <c r="E12" i="79" l="1"/>
  <c r="E14" i="79"/>
  <c r="D9" i="79"/>
  <c r="D12" i="79"/>
  <c r="E9" i="79"/>
  <c r="D14" i="79"/>
  <c r="E7" i="79"/>
  <c r="D7" i="79"/>
  <c r="D10" i="78"/>
  <c r="D16" i="78"/>
  <c r="D15" i="78"/>
  <c r="D8" i="78"/>
  <c r="E22" i="72"/>
  <c r="E13" i="72"/>
  <c r="W2" i="72"/>
  <c r="M2" i="72"/>
  <c r="L4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" i="69"/>
  <c r="G14" i="69"/>
  <c r="G15" i="69"/>
  <c r="G16" i="69"/>
  <c r="G17" i="69"/>
  <c r="G18" i="69"/>
  <c r="G19" i="69"/>
  <c r="G20" i="69"/>
  <c r="G21" i="69"/>
  <c r="G22" i="69"/>
  <c r="G23" i="69"/>
  <c r="G24" i="69"/>
  <c r="G25" i="69"/>
  <c r="G26" i="69"/>
  <c r="G27" i="69"/>
  <c r="G28" i="69"/>
  <c r="G29" i="69"/>
  <c r="G4" i="69"/>
  <c r="G5" i="69"/>
  <c r="G6" i="69"/>
  <c r="G7" i="69"/>
  <c r="G8" i="69"/>
  <c r="G9" i="69"/>
  <c r="G10" i="69"/>
  <c r="G11" i="69"/>
  <c r="G12" i="69"/>
  <c r="G13" i="69"/>
  <c r="G3" i="69"/>
  <c r="M39" i="62"/>
  <c r="F40" i="62"/>
  <c r="F41" i="62"/>
  <c r="F42" i="62"/>
  <c r="F43" i="62"/>
  <c r="F44" i="62"/>
  <c r="K44" i="62" s="1"/>
  <c r="F45" i="62"/>
  <c r="K45" i="62" s="1"/>
  <c r="F46" i="62"/>
  <c r="K46" i="62" s="1"/>
  <c r="F47" i="62"/>
  <c r="K47" i="62" s="1"/>
  <c r="F48" i="62"/>
  <c r="G48" i="62" s="1"/>
  <c r="F49" i="62"/>
  <c r="G49" i="62" s="1"/>
  <c r="F50" i="62"/>
  <c r="G50" i="62" s="1"/>
  <c r="F51" i="62"/>
  <c r="G51" i="62" s="1"/>
  <c r="F52" i="62"/>
  <c r="G52" i="62" s="1"/>
  <c r="F53" i="62"/>
  <c r="G53" i="62" s="1"/>
  <c r="F54" i="62"/>
  <c r="F55" i="62"/>
  <c r="F56" i="62"/>
  <c r="F57" i="62"/>
  <c r="F58" i="62"/>
  <c r="F59" i="62"/>
  <c r="F60" i="62"/>
  <c r="F61" i="62"/>
  <c r="F62" i="62"/>
  <c r="F63" i="62"/>
  <c r="F39" i="62"/>
  <c r="D38" i="62"/>
  <c r="E38" i="62"/>
  <c r="F38" i="62" s="1"/>
  <c r="M38" i="62"/>
  <c r="N38" i="62" s="1"/>
  <c r="C38" i="62"/>
  <c r="B38" i="62"/>
  <c r="B39" i="62"/>
  <c r="D39" i="62" s="1"/>
  <c r="E39" i="62"/>
  <c r="N39" i="62" s="1"/>
  <c r="G39" i="62"/>
  <c r="I39" i="62"/>
  <c r="H39" i="62" s="1"/>
  <c r="K39" i="62"/>
  <c r="M46" i="62"/>
  <c r="N46" i="62" s="1"/>
  <c r="M47" i="62"/>
  <c r="N47" i="62" s="1"/>
  <c r="M48" i="62"/>
  <c r="N48" i="62" s="1"/>
  <c r="M49" i="62"/>
  <c r="N49" i="62" s="1"/>
  <c r="K60" i="62"/>
  <c r="G40" i="62"/>
  <c r="G41" i="62"/>
  <c r="G42" i="62"/>
  <c r="G43" i="62"/>
  <c r="K40" i="62"/>
  <c r="K41" i="62"/>
  <c r="K42" i="62"/>
  <c r="K43" i="62"/>
  <c r="K56" i="62"/>
  <c r="K57" i="62"/>
  <c r="K58" i="62"/>
  <c r="K59" i="62"/>
  <c r="K63" i="62"/>
  <c r="E40" i="62"/>
  <c r="I40" i="62" s="1"/>
  <c r="H40" i="62" s="1"/>
  <c r="E41" i="62"/>
  <c r="M41" i="62" s="1"/>
  <c r="N41" i="62" s="1"/>
  <c r="E42" i="62"/>
  <c r="M42" i="62" s="1"/>
  <c r="N42" i="62" s="1"/>
  <c r="E43" i="62"/>
  <c r="M43" i="62" s="1"/>
  <c r="N43" i="62" s="1"/>
  <c r="E44" i="62"/>
  <c r="M44" i="62" s="1"/>
  <c r="N44" i="62" s="1"/>
  <c r="E45" i="62"/>
  <c r="M45" i="62" s="1"/>
  <c r="N45" i="62" s="1"/>
  <c r="E46" i="62"/>
  <c r="E47" i="62"/>
  <c r="E48" i="62"/>
  <c r="E49" i="62"/>
  <c r="E50" i="62"/>
  <c r="M50" i="62" s="1"/>
  <c r="N50" i="62" s="1"/>
  <c r="E51" i="62"/>
  <c r="M51" i="62" s="1"/>
  <c r="N51" i="62" s="1"/>
  <c r="E52" i="62"/>
  <c r="M52" i="62" s="1"/>
  <c r="N52" i="62" s="1"/>
  <c r="E53" i="62"/>
  <c r="M53" i="62" s="1"/>
  <c r="N53" i="62" s="1"/>
  <c r="E54" i="62"/>
  <c r="M54" i="62" s="1"/>
  <c r="N54" i="62" s="1"/>
  <c r="E55" i="62"/>
  <c r="M55" i="62" s="1"/>
  <c r="N55" i="62" s="1"/>
  <c r="E56" i="62"/>
  <c r="I56" i="62" s="1"/>
  <c r="H56" i="62" s="1"/>
  <c r="L56" i="62" s="1"/>
  <c r="E57" i="62"/>
  <c r="M57" i="62" s="1"/>
  <c r="N57" i="62" s="1"/>
  <c r="E58" i="62"/>
  <c r="E59" i="62"/>
  <c r="E60" i="62"/>
  <c r="M60" i="62" s="1"/>
  <c r="N60" i="62" s="1"/>
  <c r="E61" i="62"/>
  <c r="M61" i="62" s="1"/>
  <c r="N61" i="62" s="1"/>
  <c r="E62" i="62"/>
  <c r="M62" i="62" s="1"/>
  <c r="N62" i="62" s="1"/>
  <c r="E63" i="62"/>
  <c r="M63" i="62" s="1"/>
  <c r="N63" i="62" s="1"/>
  <c r="B40" i="62"/>
  <c r="D40" i="62" s="1"/>
  <c r="B41" i="62"/>
  <c r="D41" i="62" s="1"/>
  <c r="B42" i="62"/>
  <c r="D42" i="62" s="1"/>
  <c r="B43" i="62"/>
  <c r="D43" i="62" s="1"/>
  <c r="B44" i="62"/>
  <c r="D44" i="62" s="1"/>
  <c r="B45" i="62"/>
  <c r="D45" i="62" s="1"/>
  <c r="B46" i="62"/>
  <c r="D46" i="62" s="1"/>
  <c r="B47" i="62"/>
  <c r="D47" i="62" s="1"/>
  <c r="B48" i="62"/>
  <c r="D48" i="62" s="1"/>
  <c r="B49" i="62"/>
  <c r="D49" i="62" s="1"/>
  <c r="B50" i="62"/>
  <c r="D50" i="62" s="1"/>
  <c r="B51" i="62"/>
  <c r="D51" i="62" s="1"/>
  <c r="B52" i="62"/>
  <c r="D52" i="62" s="1"/>
  <c r="B53" i="62"/>
  <c r="D53" i="62" s="1"/>
  <c r="B54" i="62"/>
  <c r="D54" i="62" s="1"/>
  <c r="B55" i="62"/>
  <c r="D55" i="62" s="1"/>
  <c r="B56" i="62"/>
  <c r="D56" i="62" s="1"/>
  <c r="B57" i="62"/>
  <c r="D57" i="62" s="1"/>
  <c r="B58" i="62"/>
  <c r="D58" i="62" s="1"/>
  <c r="B59" i="62"/>
  <c r="D59" i="62" s="1"/>
  <c r="B60" i="62"/>
  <c r="D60" i="62" s="1"/>
  <c r="B61" i="62"/>
  <c r="D61" i="62" s="1"/>
  <c r="B62" i="62"/>
  <c r="D62" i="62" s="1"/>
  <c r="B63" i="62"/>
  <c r="D63" i="62" s="1"/>
  <c r="C4" i="62"/>
  <c r="C5" i="62"/>
  <c r="E5" i="62" s="1"/>
  <c r="C6" i="62"/>
  <c r="E6" i="62" s="1"/>
  <c r="C7" i="62"/>
  <c r="E7" i="62" s="1"/>
  <c r="C8" i="62"/>
  <c r="C9" i="62"/>
  <c r="B9" i="62" s="1"/>
  <c r="D9" i="62" s="1"/>
  <c r="C10" i="62"/>
  <c r="E10" i="62" s="1"/>
  <c r="F10" i="62" s="1"/>
  <c r="C11" i="62"/>
  <c r="B11" i="62" s="1"/>
  <c r="D11" i="62" s="1"/>
  <c r="C12" i="62"/>
  <c r="B12" i="62" s="1"/>
  <c r="D12" i="62" s="1"/>
  <c r="C13" i="62"/>
  <c r="B13" i="62" s="1"/>
  <c r="D13" i="62" s="1"/>
  <c r="C14" i="62"/>
  <c r="C15" i="62"/>
  <c r="C16" i="62"/>
  <c r="C17" i="62"/>
  <c r="C18" i="62"/>
  <c r="E18" i="62" s="1"/>
  <c r="C19" i="62"/>
  <c r="C20" i="62"/>
  <c r="C21" i="62"/>
  <c r="C22" i="62"/>
  <c r="C23" i="62"/>
  <c r="C24" i="62"/>
  <c r="C25" i="62"/>
  <c r="E25" i="62" s="1"/>
  <c r="F25" i="62" s="1"/>
  <c r="C26" i="62"/>
  <c r="E26" i="62" s="1"/>
  <c r="C27" i="62"/>
  <c r="E27" i="62" s="1"/>
  <c r="F27" i="62" s="1"/>
  <c r="C28" i="62"/>
  <c r="C29" i="62"/>
  <c r="C30" i="62"/>
  <c r="C31" i="62"/>
  <c r="C32" i="62"/>
  <c r="B32" i="62" s="1"/>
  <c r="D32" i="62" s="1"/>
  <c r="C33" i="62"/>
  <c r="C34" i="62"/>
  <c r="B34" i="62" s="1"/>
  <c r="D34" i="62" s="1"/>
  <c r="C35" i="62"/>
  <c r="E35" i="62" s="1"/>
  <c r="C36" i="62"/>
  <c r="E36" i="62" s="1"/>
  <c r="C37" i="62"/>
  <c r="E37" i="62" s="1"/>
  <c r="F37" i="62" s="1"/>
  <c r="I37" i="62" s="1"/>
  <c r="C3" i="62"/>
  <c r="C2" i="62"/>
  <c r="B26" i="69" a="1"/>
  <c r="C14" i="69" a="1"/>
  <c r="C8" i="69" a="1"/>
  <c r="B29" i="69" a="1"/>
  <c r="D17" i="78" a="1"/>
  <c r="D11" i="69" a="1"/>
  <c r="B20" i="69" a="1"/>
  <c r="B21" i="69" a="1"/>
  <c r="B23" i="69" a="1"/>
  <c r="D20" i="69" a="1"/>
  <c r="D7" i="69" a="1"/>
  <c r="D4" i="69" a="1"/>
  <c r="D9" i="69" a="1"/>
  <c r="C6" i="69" a="1"/>
  <c r="D5" i="69" a="1"/>
  <c r="B9" i="69" a="1"/>
  <c r="C18" i="69" a="1"/>
  <c r="B10" i="69" a="1"/>
  <c r="D21" i="69" a="1"/>
  <c r="D6" i="69" a="1"/>
  <c r="C28" i="69" a="1"/>
  <c r="C16" i="69" a="1"/>
  <c r="D27" i="69" a="1"/>
  <c r="B24" i="69" a="1"/>
  <c r="D14" i="69" a="1"/>
  <c r="C20" i="69" a="1"/>
  <c r="C9" i="69" a="1"/>
  <c r="B7" i="69" a="1"/>
  <c r="C24" i="69" a="1"/>
  <c r="C27" i="69" a="1"/>
  <c r="D3" i="69" a="1"/>
  <c r="B13" i="69" a="1"/>
  <c r="B17" i="69" a="1"/>
  <c r="C21" i="69" a="1"/>
  <c r="C4" i="69" a="1"/>
  <c r="C25" i="69" a="1"/>
  <c r="B25" i="69" a="1"/>
  <c r="D15" i="69" a="1"/>
  <c r="B6" i="69" a="1"/>
  <c r="B18" i="69" a="1"/>
  <c r="B19" i="69" a="1"/>
  <c r="D16" i="69" a="1"/>
  <c r="D18" i="69" a="1"/>
  <c r="D19" i="69" a="1"/>
  <c r="B4" i="69" a="1"/>
  <c r="C19" i="69" a="1"/>
  <c r="C3" i="69" a="1"/>
  <c r="C17" i="69" a="1"/>
  <c r="D8" i="69" a="1"/>
  <c r="D24" i="69" a="1"/>
  <c r="B16" i="69" a="1"/>
  <c r="B5" i="69" a="1"/>
  <c r="B12" i="69" a="1"/>
  <c r="B28" i="69" a="1"/>
  <c r="C7" i="69" a="1"/>
  <c r="B27" i="69" a="1"/>
  <c r="B3" i="69" a="1"/>
  <c r="C22" i="69" a="1"/>
  <c r="C13" i="69" a="1"/>
  <c r="C23" i="69" a="1"/>
  <c r="D13" i="69" a="1"/>
  <c r="B15" i="69" a="1"/>
  <c r="B8" i="69" a="1"/>
  <c r="C26" i="69" a="1"/>
  <c r="B22" i="69" a="1"/>
  <c r="C11" i="69" a="1"/>
  <c r="B14" i="69" a="1"/>
  <c r="D17" i="69" a="1"/>
  <c r="D10" i="69" a="1"/>
  <c r="D12" i="69" a="1"/>
  <c r="D26" i="69" a="1"/>
  <c r="D23" i="69" a="1"/>
  <c r="C12" i="69" a="1"/>
  <c r="D28" i="69" a="1"/>
  <c r="D22" i="69" a="1"/>
  <c r="B11" i="69" a="1"/>
  <c r="D25" i="69" a="1"/>
  <c r="D29" i="69" a="1"/>
  <c r="C29" i="69" a="1"/>
  <c r="C5" i="69" a="1"/>
  <c r="C15" i="69" a="1"/>
  <c r="C10" i="69" a="1"/>
  <c r="D17" i="78" l="1"/>
  <c r="D7" i="72"/>
  <c r="D11" i="72"/>
  <c r="D16" i="72" s="1"/>
  <c r="F16" i="72" s="1"/>
  <c r="F14" i="72" s="1"/>
  <c r="E11" i="72"/>
  <c r="E16" i="72" s="1"/>
  <c r="E7" i="72"/>
  <c r="C3" i="69"/>
  <c r="D25" i="69"/>
  <c r="D23" i="69"/>
  <c r="C29" i="69"/>
  <c r="C15" i="69"/>
  <c r="B29" i="69"/>
  <c r="B23" i="69"/>
  <c r="D26" i="69"/>
  <c r="D24" i="69"/>
  <c r="D22" i="69"/>
  <c r="D20" i="69"/>
  <c r="D18" i="69"/>
  <c r="D16" i="69"/>
  <c r="D14" i="69"/>
  <c r="D21" i="69"/>
  <c r="C23" i="69"/>
  <c r="B15" i="69"/>
  <c r="D28" i="69"/>
  <c r="D29" i="69"/>
  <c r="D17" i="69"/>
  <c r="C27" i="69"/>
  <c r="C21" i="69"/>
  <c r="B25" i="69"/>
  <c r="B17" i="69"/>
  <c r="C26" i="69"/>
  <c r="C24" i="69"/>
  <c r="C22" i="69"/>
  <c r="C20" i="69"/>
  <c r="C18" i="69"/>
  <c r="C16" i="69"/>
  <c r="C14" i="69"/>
  <c r="D19" i="69"/>
  <c r="C19" i="69"/>
  <c r="B21" i="69"/>
  <c r="C28" i="69"/>
  <c r="D27" i="69"/>
  <c r="D15" i="69"/>
  <c r="C25" i="69"/>
  <c r="C17" i="69"/>
  <c r="B27" i="69"/>
  <c r="B19" i="69"/>
  <c r="B28" i="69"/>
  <c r="B26" i="69"/>
  <c r="B24" i="69"/>
  <c r="B22" i="69"/>
  <c r="B20" i="69"/>
  <c r="B18" i="69"/>
  <c r="B16" i="69"/>
  <c r="B14" i="69"/>
  <c r="D7" i="69"/>
  <c r="C11" i="69"/>
  <c r="D6" i="69"/>
  <c r="C9" i="69"/>
  <c r="C7" i="69"/>
  <c r="C6" i="69"/>
  <c r="D9" i="69"/>
  <c r="C13" i="69"/>
  <c r="D4" i="69"/>
  <c r="D11" i="69"/>
  <c r="D10" i="69"/>
  <c r="C10" i="69"/>
  <c r="D13" i="69"/>
  <c r="D5" i="69"/>
  <c r="C5" i="69"/>
  <c r="D12" i="69"/>
  <c r="D8" i="69"/>
  <c r="C12" i="69"/>
  <c r="C8" i="69"/>
  <c r="C4" i="69"/>
  <c r="D3" i="69"/>
  <c r="B3" i="69"/>
  <c r="H3" i="69" s="1"/>
  <c r="B10" i="69"/>
  <c r="B9" i="69"/>
  <c r="B8" i="69"/>
  <c r="B6" i="69"/>
  <c r="B5" i="69"/>
  <c r="B7" i="69"/>
  <c r="B13" i="69"/>
  <c r="B11" i="69"/>
  <c r="B12" i="69"/>
  <c r="B4" i="69"/>
  <c r="J39" i="62"/>
  <c r="G38" i="62"/>
  <c r="I38" i="62"/>
  <c r="K38" i="62"/>
  <c r="L39" i="62"/>
  <c r="O39" i="62"/>
  <c r="K53" i="62"/>
  <c r="K51" i="62"/>
  <c r="E12" i="62"/>
  <c r="F12" i="62" s="1"/>
  <c r="I12" i="62" s="1"/>
  <c r="K52" i="62"/>
  <c r="M10" i="62"/>
  <c r="N10" i="62" s="1"/>
  <c r="O40" i="62"/>
  <c r="L40" i="62"/>
  <c r="F26" i="62"/>
  <c r="I26" i="62" s="1"/>
  <c r="J26" i="62" s="1"/>
  <c r="M26" i="62"/>
  <c r="N26" i="62" s="1"/>
  <c r="O56" i="62"/>
  <c r="K50" i="62"/>
  <c r="I49" i="62"/>
  <c r="H49" i="62" s="1"/>
  <c r="M40" i="62"/>
  <c r="N40" i="62" s="1"/>
  <c r="G63" i="62"/>
  <c r="G59" i="62"/>
  <c r="I53" i="62"/>
  <c r="H53" i="62" s="1"/>
  <c r="L53" i="62" s="1"/>
  <c r="M56" i="62"/>
  <c r="N56" i="62" s="1"/>
  <c r="J40" i="62"/>
  <c r="B27" i="62"/>
  <c r="D27" i="62" s="1"/>
  <c r="K49" i="62"/>
  <c r="B26" i="62"/>
  <c r="D26" i="62" s="1"/>
  <c r="B25" i="62"/>
  <c r="D25" i="62" s="1"/>
  <c r="I55" i="62"/>
  <c r="H55" i="62" s="1"/>
  <c r="L55" i="62" s="1"/>
  <c r="I48" i="62"/>
  <c r="H48" i="62" s="1"/>
  <c r="I54" i="62"/>
  <c r="H54" i="62" s="1"/>
  <c r="L54" i="62" s="1"/>
  <c r="I47" i="62"/>
  <c r="H47" i="62" s="1"/>
  <c r="L47" i="62" s="1"/>
  <c r="M37" i="62"/>
  <c r="N37" i="62" s="1"/>
  <c r="I59" i="62"/>
  <c r="G58" i="62"/>
  <c r="I46" i="62"/>
  <c r="H46" i="62" s="1"/>
  <c r="L46" i="62" s="1"/>
  <c r="M27" i="62"/>
  <c r="N27" i="62" s="1"/>
  <c r="I58" i="62"/>
  <c r="H58" i="62" s="1"/>
  <c r="I42" i="62"/>
  <c r="I52" i="62"/>
  <c r="H52" i="62" s="1"/>
  <c r="L52" i="62" s="1"/>
  <c r="G57" i="62"/>
  <c r="I43" i="62"/>
  <c r="M59" i="62"/>
  <c r="N59" i="62" s="1"/>
  <c r="I57" i="62"/>
  <c r="H57" i="62" s="1"/>
  <c r="I41" i="62"/>
  <c r="G56" i="62"/>
  <c r="J56" i="62"/>
  <c r="M58" i="62"/>
  <c r="N58" i="62" s="1"/>
  <c r="M25" i="62"/>
  <c r="N25" i="62" s="1"/>
  <c r="I45" i="62"/>
  <c r="E8" i="62"/>
  <c r="B8" i="62"/>
  <c r="D8" i="62" s="1"/>
  <c r="I44" i="62"/>
  <c r="E2" i="62"/>
  <c r="F7" i="62"/>
  <c r="K7" i="62" s="1"/>
  <c r="M7" i="62"/>
  <c r="N7" i="62" s="1"/>
  <c r="K55" i="62"/>
  <c r="F6" i="62"/>
  <c r="K6" i="62" s="1"/>
  <c r="M6" i="62"/>
  <c r="N6" i="62" s="1"/>
  <c r="K54" i="62"/>
  <c r="E21" i="62"/>
  <c r="O55" i="62"/>
  <c r="E20" i="62"/>
  <c r="E4" i="62"/>
  <c r="G54" i="62"/>
  <c r="F35" i="62"/>
  <c r="G35" i="62" s="1"/>
  <c r="M35" i="62"/>
  <c r="N35" i="62" s="1"/>
  <c r="E19" i="62"/>
  <c r="B33" i="62"/>
  <c r="D33" i="62" s="1"/>
  <c r="K62" i="62"/>
  <c r="G62" i="62"/>
  <c r="G47" i="62"/>
  <c r="I63" i="62"/>
  <c r="E24" i="62"/>
  <c r="B24" i="62"/>
  <c r="D24" i="62" s="1"/>
  <c r="E23" i="62"/>
  <c r="E3" i="62"/>
  <c r="E22" i="62"/>
  <c r="B22" i="62"/>
  <c r="D22" i="62" s="1"/>
  <c r="F5" i="62"/>
  <c r="I5" i="62" s="1"/>
  <c r="J5" i="62" s="1"/>
  <c r="M5" i="62"/>
  <c r="N5" i="62" s="1"/>
  <c r="G55" i="62"/>
  <c r="F36" i="62"/>
  <c r="G36" i="62" s="1"/>
  <c r="M36" i="62"/>
  <c r="N36" i="62" s="1"/>
  <c r="F18" i="62"/>
  <c r="I18" i="62" s="1"/>
  <c r="M18" i="62"/>
  <c r="N18" i="62" s="1"/>
  <c r="E17" i="62"/>
  <c r="E32" i="62"/>
  <c r="B16" i="62"/>
  <c r="D16" i="62" s="1"/>
  <c r="K61" i="62"/>
  <c r="G61" i="62"/>
  <c r="I61" i="62"/>
  <c r="G46" i="62"/>
  <c r="I62" i="62"/>
  <c r="K48" i="62"/>
  <c r="G60" i="62"/>
  <c r="I60" i="62"/>
  <c r="G45" i="62"/>
  <c r="I51" i="62"/>
  <c r="G44" i="62"/>
  <c r="I50" i="62"/>
  <c r="M12" i="62"/>
  <c r="N12" i="62" s="1"/>
  <c r="J49" i="62"/>
  <c r="B31" i="62"/>
  <c r="D31" i="62" s="1"/>
  <c r="B15" i="62"/>
  <c r="D15" i="62" s="1"/>
  <c r="B14" i="62"/>
  <c r="D14" i="62" s="1"/>
  <c r="B29" i="62"/>
  <c r="D29" i="62" s="1"/>
  <c r="E29" i="62"/>
  <c r="B28" i="62"/>
  <c r="D28" i="62" s="1"/>
  <c r="E28" i="62"/>
  <c r="E31" i="62"/>
  <c r="B23" i="62"/>
  <c r="D23" i="62" s="1"/>
  <c r="B10" i="62"/>
  <c r="D10" i="62" s="1"/>
  <c r="B7" i="62"/>
  <c r="D7" i="62" s="1"/>
  <c r="B6" i="62"/>
  <c r="D6" i="62" s="1"/>
  <c r="B3" i="62"/>
  <c r="D3" i="62" s="1"/>
  <c r="E34" i="62"/>
  <c r="E33" i="62"/>
  <c r="B2" i="62"/>
  <c r="D2" i="62" s="1"/>
  <c r="E16" i="62"/>
  <c r="B21" i="62"/>
  <c r="D21" i="62" s="1"/>
  <c r="E15" i="62"/>
  <c r="B20" i="62"/>
  <c r="D20" i="62" s="1"/>
  <c r="E13" i="62"/>
  <c r="B19" i="62"/>
  <c r="D19" i="62" s="1"/>
  <c r="B18" i="62"/>
  <c r="D18" i="62" s="1"/>
  <c r="E11" i="62"/>
  <c r="B5" i="62"/>
  <c r="D5" i="62" s="1"/>
  <c r="B17" i="62"/>
  <c r="D17" i="62" s="1"/>
  <c r="H26" i="62"/>
  <c r="B4" i="62"/>
  <c r="D4" i="62" s="1"/>
  <c r="J37" i="62"/>
  <c r="H37" i="62"/>
  <c r="L37" i="62" s="1"/>
  <c r="I36" i="62"/>
  <c r="K36" i="62"/>
  <c r="G37" i="62"/>
  <c r="B30" i="62"/>
  <c r="D30" i="62" s="1"/>
  <c r="E30" i="62"/>
  <c r="E14" i="62"/>
  <c r="G12" i="62"/>
  <c r="K12" i="62"/>
  <c r="K37" i="62"/>
  <c r="K18" i="62"/>
  <c r="I25" i="62"/>
  <c r="K25" i="62"/>
  <c r="G25" i="62"/>
  <c r="I10" i="62"/>
  <c r="K10" i="62"/>
  <c r="G10" i="62"/>
  <c r="G27" i="62"/>
  <c r="I27" i="62"/>
  <c r="E9" i="62"/>
  <c r="G5" i="62"/>
  <c r="K5" i="62"/>
  <c r="B37" i="62"/>
  <c r="D37" i="62" s="1"/>
  <c r="K27" i="62"/>
  <c r="B36" i="62"/>
  <c r="D36" i="62" s="1"/>
  <c r="B35" i="62"/>
  <c r="D35" i="62" s="1"/>
  <c r="J14" i="69" a="1"/>
  <c r="G16" i="72" l="1"/>
  <c r="D18" i="72"/>
  <c r="J14" i="69"/>
  <c r="K14" i="69" s="1"/>
  <c r="M14" i="69" s="1"/>
  <c r="H25" i="69"/>
  <c r="I25" i="69" s="1"/>
  <c r="H15" i="69"/>
  <c r="F15" i="69" s="1"/>
  <c r="H13" i="69"/>
  <c r="H5" i="69"/>
  <c r="F5" i="69" s="1"/>
  <c r="H24" i="69"/>
  <c r="F24" i="69" s="1"/>
  <c r="H16" i="69"/>
  <c r="I16" i="69" s="1"/>
  <c r="H6" i="69"/>
  <c r="I6" i="69" s="1"/>
  <c r="H26" i="69"/>
  <c r="I26" i="69" s="1"/>
  <c r="H29" i="69"/>
  <c r="I29" i="69" s="1"/>
  <c r="H21" i="69"/>
  <c r="I21" i="69" s="1"/>
  <c r="H4" i="69"/>
  <c r="I4" i="69" s="1"/>
  <c r="H7" i="69"/>
  <c r="I7" i="69" s="1"/>
  <c r="H8" i="69"/>
  <c r="I8" i="69" s="1"/>
  <c r="H28" i="69"/>
  <c r="I28" i="69" s="1"/>
  <c r="H12" i="69"/>
  <c r="I12" i="69" s="1"/>
  <c r="H20" i="69"/>
  <c r="I20" i="69" s="1"/>
  <c r="H9" i="69"/>
  <c r="I9" i="69" s="1"/>
  <c r="H19" i="69"/>
  <c r="I19" i="69" s="1"/>
  <c r="H23" i="69"/>
  <c r="F23" i="69" s="1"/>
  <c r="H14" i="69"/>
  <c r="F14" i="69" s="1"/>
  <c r="H11" i="69"/>
  <c r="I11" i="69" s="1"/>
  <c r="H18" i="69"/>
  <c r="I18" i="69" s="1"/>
  <c r="H22" i="69"/>
  <c r="I22" i="69" s="1"/>
  <c r="H10" i="69"/>
  <c r="F10" i="69" s="1"/>
  <c r="H27" i="69"/>
  <c r="I27" i="69" s="1"/>
  <c r="H17" i="69"/>
  <c r="I17" i="69" s="1"/>
  <c r="O47" i="62"/>
  <c r="J55" i="62"/>
  <c r="J48" i="62"/>
  <c r="O54" i="62"/>
  <c r="H38" i="62"/>
  <c r="J38" i="62"/>
  <c r="K26" i="62"/>
  <c r="J46" i="62"/>
  <c r="J57" i="62"/>
  <c r="G26" i="62"/>
  <c r="J54" i="62"/>
  <c r="H43" i="62"/>
  <c r="J43" i="62"/>
  <c r="J42" i="62"/>
  <c r="H42" i="62"/>
  <c r="J58" i="62"/>
  <c r="G18" i="62"/>
  <c r="J47" i="62"/>
  <c r="O52" i="62"/>
  <c r="H41" i="62"/>
  <c r="J41" i="62"/>
  <c r="J52" i="62"/>
  <c r="L58" i="62"/>
  <c r="O58" i="62"/>
  <c r="J53" i="62"/>
  <c r="J59" i="62"/>
  <c r="H59" i="62"/>
  <c r="O46" i="62"/>
  <c r="O53" i="62"/>
  <c r="O57" i="62"/>
  <c r="L57" i="62"/>
  <c r="F17" i="62"/>
  <c r="M17" i="62"/>
  <c r="N17" i="62" s="1"/>
  <c r="F19" i="62"/>
  <c r="M19" i="62"/>
  <c r="N19" i="62" s="1"/>
  <c r="H51" i="62"/>
  <c r="J51" i="62"/>
  <c r="F23" i="62"/>
  <c r="M23" i="62"/>
  <c r="N23" i="62" s="1"/>
  <c r="F21" i="62"/>
  <c r="M21" i="62"/>
  <c r="N21" i="62" s="1"/>
  <c r="H60" i="62"/>
  <c r="J60" i="62"/>
  <c r="L26" i="62"/>
  <c r="O26" i="62"/>
  <c r="F24" i="62"/>
  <c r="M24" i="62"/>
  <c r="N24" i="62" s="1"/>
  <c r="F11" i="62"/>
  <c r="G11" i="62" s="1"/>
  <c r="M11" i="62"/>
  <c r="N11" i="62" s="1"/>
  <c r="H62" i="62"/>
  <c r="J62" i="62"/>
  <c r="I6" i="62"/>
  <c r="J6" i="62" s="1"/>
  <c r="F9" i="62"/>
  <c r="M9" i="62"/>
  <c r="N9" i="62" s="1"/>
  <c r="F31" i="62"/>
  <c r="M31" i="62"/>
  <c r="N31" i="62" s="1"/>
  <c r="L49" i="62"/>
  <c r="O49" i="62"/>
  <c r="L48" i="62"/>
  <c r="O48" i="62"/>
  <c r="F14" i="62"/>
  <c r="G14" i="62" s="1"/>
  <c r="M14" i="62"/>
  <c r="N14" i="62" s="1"/>
  <c r="G7" i="62"/>
  <c r="F28" i="62"/>
  <c r="M28" i="62"/>
  <c r="N28" i="62" s="1"/>
  <c r="H61" i="62"/>
  <c r="J61" i="62"/>
  <c r="H63" i="62"/>
  <c r="J63" i="62"/>
  <c r="F2" i="62"/>
  <c r="M2" i="62"/>
  <c r="N2" i="62" s="1"/>
  <c r="F30" i="62"/>
  <c r="G30" i="62" s="1"/>
  <c r="M30" i="62"/>
  <c r="N30" i="62" s="1"/>
  <c r="I7" i="62"/>
  <c r="J7" i="62" s="1"/>
  <c r="F13" i="62"/>
  <c r="G13" i="62" s="1"/>
  <c r="M13" i="62"/>
  <c r="N13" i="62" s="1"/>
  <c r="O37" i="62"/>
  <c r="F4" i="62"/>
  <c r="M4" i="62"/>
  <c r="N4" i="62" s="1"/>
  <c r="J44" i="62"/>
  <c r="H44" i="62"/>
  <c r="F29" i="62"/>
  <c r="M29" i="62"/>
  <c r="N29" i="62" s="1"/>
  <c r="H5" i="62"/>
  <c r="F15" i="62"/>
  <c r="G15" i="62" s="1"/>
  <c r="M15" i="62"/>
  <c r="N15" i="62" s="1"/>
  <c r="F33" i="62"/>
  <c r="I33" i="62" s="1"/>
  <c r="J33" i="62" s="1"/>
  <c r="M33" i="62"/>
  <c r="N33" i="62" s="1"/>
  <c r="H50" i="62"/>
  <c r="J50" i="62"/>
  <c r="F20" i="62"/>
  <c r="M20" i="62"/>
  <c r="N20" i="62" s="1"/>
  <c r="F8" i="62"/>
  <c r="M8" i="62"/>
  <c r="N8" i="62" s="1"/>
  <c r="F34" i="62"/>
  <c r="M34" i="62"/>
  <c r="N34" i="62" s="1"/>
  <c r="F22" i="62"/>
  <c r="M22" i="62"/>
  <c r="N22" i="62" s="1"/>
  <c r="J45" i="62"/>
  <c r="H45" i="62"/>
  <c r="K35" i="62"/>
  <c r="F16" i="62"/>
  <c r="I16" i="62" s="1"/>
  <c r="H16" i="62" s="1"/>
  <c r="M16" i="62"/>
  <c r="N16" i="62" s="1"/>
  <c r="I35" i="62"/>
  <c r="H35" i="62" s="1"/>
  <c r="G6" i="62"/>
  <c r="F32" i="62"/>
  <c r="M32" i="62"/>
  <c r="N32" i="62" s="1"/>
  <c r="F3" i="62"/>
  <c r="M3" i="62"/>
  <c r="N3" i="62" s="1"/>
  <c r="J18" i="62"/>
  <c r="H18" i="62"/>
  <c r="I9" i="62"/>
  <c r="K9" i="62"/>
  <c r="G9" i="62"/>
  <c r="J27" i="62"/>
  <c r="H27" i="62"/>
  <c r="J36" i="62"/>
  <c r="H36" i="62"/>
  <c r="H12" i="62"/>
  <c r="J12" i="62"/>
  <c r="H10" i="62"/>
  <c r="J10" i="62"/>
  <c r="J25" i="62"/>
  <c r="H25" i="62"/>
  <c r="J4" i="69" a="1"/>
  <c r="J16" i="69" a="1"/>
  <c r="J27" i="69" a="1"/>
  <c r="J23" i="69" a="1"/>
  <c r="J25" i="69" a="1"/>
  <c r="E12" i="72" a="1"/>
  <c r="D12" i="72" a="1"/>
  <c r="J5" i="69" a="1"/>
  <c r="J19" i="69" a="1"/>
  <c r="J18" i="69" a="1"/>
  <c r="J20" i="69" a="1"/>
  <c r="E17" i="72" a="1"/>
  <c r="J26" i="69" a="1"/>
  <c r="D17" i="72" a="1"/>
  <c r="E18" i="72" a="1"/>
  <c r="J9" i="69" a="1"/>
  <c r="J28" i="69" a="1"/>
  <c r="J21" i="69" a="1"/>
  <c r="D8" i="72" a="1"/>
  <c r="J29" i="69" a="1"/>
  <c r="J12" i="69" a="1"/>
  <c r="J10" i="69" a="1"/>
  <c r="J11" i="69" a="1"/>
  <c r="E8" i="72" a="1"/>
  <c r="J17" i="69" a="1"/>
  <c r="J8" i="69" a="1"/>
  <c r="J15" i="69" a="1"/>
  <c r="E21" i="72" a="1"/>
  <c r="J6" i="69" a="1"/>
  <c r="J24" i="69" a="1"/>
  <c r="J13" i="69" a="1"/>
  <c r="J3" i="69" a="1"/>
  <c r="J22" i="69" a="1"/>
  <c r="J7" i="69" a="1"/>
  <c r="J6" i="69" l="1"/>
  <c r="K6" i="69" s="1"/>
  <c r="M6" i="69" s="1"/>
  <c r="J11" i="69"/>
  <c r="K11" i="69" s="1"/>
  <c r="M11" i="69" s="1"/>
  <c r="J25" i="69"/>
  <c r="K25" i="69" s="1"/>
  <c r="M25" i="69" s="1"/>
  <c r="J4" i="69"/>
  <c r="K4" i="69" s="1"/>
  <c r="M4" i="69" s="1"/>
  <c r="E18" i="72"/>
  <c r="E21" i="72"/>
  <c r="J20" i="69"/>
  <c r="K20" i="69" s="1"/>
  <c r="M20" i="69" s="1"/>
  <c r="J24" i="69"/>
  <c r="K24" i="69" s="1"/>
  <c r="M24" i="69" s="1"/>
  <c r="F22" i="69"/>
  <c r="J12" i="69"/>
  <c r="K12" i="69" s="1"/>
  <c r="M12" i="69" s="1"/>
  <c r="J22" i="69"/>
  <c r="K22" i="69" s="1"/>
  <c r="M22" i="69" s="1"/>
  <c r="J10" i="69"/>
  <c r="K10" i="69" s="1"/>
  <c r="M10" i="69" s="1"/>
  <c r="J28" i="69"/>
  <c r="K28" i="69" s="1"/>
  <c r="M28" i="69" s="1"/>
  <c r="J23" i="69"/>
  <c r="K23" i="69" s="1"/>
  <c r="M23" i="69" s="1"/>
  <c r="F19" i="69"/>
  <c r="D21" i="72"/>
  <c r="D8" i="72"/>
  <c r="D12" i="72"/>
  <c r="D17" i="72"/>
  <c r="E17" i="72"/>
  <c r="E8" i="72"/>
  <c r="E12" i="72"/>
  <c r="F9" i="69"/>
  <c r="I5" i="72"/>
  <c r="P5" i="69"/>
  <c r="I24" i="69"/>
  <c r="F28" i="69"/>
  <c r="F13" i="69"/>
  <c r="S5" i="72"/>
  <c r="F21" i="69"/>
  <c r="F29" i="69"/>
  <c r="I5" i="69"/>
  <c r="F20" i="69"/>
  <c r="J27" i="69"/>
  <c r="K27" i="69" s="1"/>
  <c r="M27" i="69" s="1"/>
  <c r="J17" i="69"/>
  <c r="K17" i="69" s="1"/>
  <c r="M17" i="69" s="1"/>
  <c r="J19" i="69"/>
  <c r="K19" i="69" s="1"/>
  <c r="M19" i="69" s="1"/>
  <c r="J26" i="69"/>
  <c r="K26" i="69" s="1"/>
  <c r="M26" i="69" s="1"/>
  <c r="J5" i="69"/>
  <c r="K5" i="69" s="1"/>
  <c r="M5" i="69" s="1"/>
  <c r="J18" i="69"/>
  <c r="K18" i="69" s="1"/>
  <c r="M18" i="69" s="1"/>
  <c r="J13" i="69"/>
  <c r="K13" i="69" s="1"/>
  <c r="J29" i="69"/>
  <c r="K29" i="69" s="1"/>
  <c r="J3" i="69"/>
  <c r="K3" i="69" s="1"/>
  <c r="P25" i="69" s="1"/>
  <c r="J21" i="69"/>
  <c r="K21" i="69" s="1"/>
  <c r="M21" i="69" s="1"/>
  <c r="J8" i="69"/>
  <c r="K8" i="69" s="1"/>
  <c r="M8" i="69" s="1"/>
  <c r="J9" i="69"/>
  <c r="K9" i="69" s="1"/>
  <c r="M9" i="69" s="1"/>
  <c r="J16" i="69"/>
  <c r="K16" i="69" s="1"/>
  <c r="M16" i="69" s="1"/>
  <c r="J15" i="69"/>
  <c r="K15" i="69" s="1"/>
  <c r="M15" i="69" s="1"/>
  <c r="J7" i="69"/>
  <c r="K7" i="69" s="1"/>
  <c r="M7" i="69" s="1"/>
  <c r="I3" i="69"/>
  <c r="I15" i="69"/>
  <c r="F6" i="69"/>
  <c r="I13" i="69"/>
  <c r="W5" i="69"/>
  <c r="W6" i="69" s="1"/>
  <c r="W7" i="69" s="1"/>
  <c r="W8" i="69" s="1"/>
  <c r="W9" i="69" s="1"/>
  <c r="W10" i="69" s="1"/>
  <c r="W11" i="69" s="1"/>
  <c r="W12" i="69" s="1"/>
  <c r="W13" i="69" s="1"/>
  <c r="W14" i="69" s="1"/>
  <c r="W15" i="69" s="1"/>
  <c r="W16" i="69" s="1"/>
  <c r="W17" i="69" s="1"/>
  <c r="W18" i="69" s="1"/>
  <c r="W19" i="69" s="1"/>
  <c r="W20" i="69" s="1"/>
  <c r="W21" i="69" s="1"/>
  <c r="W22" i="69" s="1"/>
  <c r="W23" i="69" s="1"/>
  <c r="W24" i="69" s="1"/>
  <c r="W25" i="69" s="1"/>
  <c r="W26" i="69" s="1"/>
  <c r="W27" i="69" s="1"/>
  <c r="W28" i="69" s="1"/>
  <c r="W29" i="69" s="1"/>
  <c r="W30" i="69" s="1"/>
  <c r="W31" i="69" s="1"/>
  <c r="W32" i="69" s="1"/>
  <c r="W33" i="69" s="1"/>
  <c r="W34" i="69" s="1"/>
  <c r="I14" i="69"/>
  <c r="F27" i="69"/>
  <c r="F8" i="69"/>
  <c r="F18" i="69"/>
  <c r="F16" i="69"/>
  <c r="F11" i="69"/>
  <c r="F4" i="69"/>
  <c r="F17" i="69"/>
  <c r="F7" i="69"/>
  <c r="F26" i="69"/>
  <c r="I10" i="69"/>
  <c r="I23" i="69"/>
  <c r="F3" i="69"/>
  <c r="F25" i="69"/>
  <c r="F12" i="69"/>
  <c r="L38" i="62"/>
  <c r="O38" i="62"/>
  <c r="K11" i="62"/>
  <c r="K15" i="62"/>
  <c r="O41" i="62"/>
  <c r="L41" i="62"/>
  <c r="O59" i="62"/>
  <c r="L59" i="62"/>
  <c r="K16" i="62"/>
  <c r="I15" i="62"/>
  <c r="H15" i="62" s="1"/>
  <c r="O15" i="62" s="1"/>
  <c r="I11" i="62"/>
  <c r="L42" i="62"/>
  <c r="O42" i="62"/>
  <c r="H33" i="62"/>
  <c r="L33" i="62" s="1"/>
  <c r="L43" i="62"/>
  <c r="O43" i="62"/>
  <c r="L35" i="62"/>
  <c r="O35" i="62"/>
  <c r="L16" i="62"/>
  <c r="O16" i="62"/>
  <c r="I3" i="62"/>
  <c r="G3" i="62"/>
  <c r="K3" i="62"/>
  <c r="L27" i="62"/>
  <c r="O27" i="62"/>
  <c r="G20" i="62"/>
  <c r="K20" i="62"/>
  <c r="I20" i="62"/>
  <c r="K14" i="62"/>
  <c r="L50" i="62"/>
  <c r="O50" i="62"/>
  <c r="L18" i="62"/>
  <c r="O18" i="62"/>
  <c r="G16" i="62"/>
  <c r="I2" i="62"/>
  <c r="K2" i="62"/>
  <c r="G2" i="62"/>
  <c r="K30" i="62"/>
  <c r="L45" i="62"/>
  <c r="O45" i="62"/>
  <c r="L5" i="62"/>
  <c r="O5" i="62"/>
  <c r="J35" i="62"/>
  <c r="I30" i="62"/>
  <c r="H30" i="62" s="1"/>
  <c r="K33" i="62"/>
  <c r="L63" i="62"/>
  <c r="O63" i="62"/>
  <c r="K23" i="62"/>
  <c r="G23" i="62"/>
  <c r="I23" i="62"/>
  <c r="J16" i="62"/>
  <c r="I13" i="62"/>
  <c r="L25" i="62"/>
  <c r="O25" i="62"/>
  <c r="L12" i="62"/>
  <c r="O12" i="62"/>
  <c r="H6" i="62"/>
  <c r="K22" i="62"/>
  <c r="G22" i="62"/>
  <c r="I22" i="62"/>
  <c r="G29" i="62"/>
  <c r="I29" i="62"/>
  <c r="K29" i="62"/>
  <c r="O61" i="62"/>
  <c r="L61" i="62"/>
  <c r="O62" i="62"/>
  <c r="L62" i="62"/>
  <c r="L51" i="62"/>
  <c r="O51" i="62"/>
  <c r="H7" i="62"/>
  <c r="G33" i="62"/>
  <c r="L44" i="62"/>
  <c r="O44" i="62"/>
  <c r="I32" i="62"/>
  <c r="K32" i="62"/>
  <c r="G32" i="62"/>
  <c r="I14" i="62"/>
  <c r="J14" i="62" s="1"/>
  <c r="O60" i="62"/>
  <c r="L60" i="62"/>
  <c r="G31" i="62"/>
  <c r="I31" i="62"/>
  <c r="K31" i="62"/>
  <c r="L10" i="62"/>
  <c r="O10" i="62"/>
  <c r="K13" i="62"/>
  <c r="G21" i="62"/>
  <c r="K21" i="62"/>
  <c r="I21" i="62"/>
  <c r="L36" i="62"/>
  <c r="O36" i="62"/>
  <c r="I34" i="62"/>
  <c r="K34" i="62"/>
  <c r="G34" i="62"/>
  <c r="G28" i="62"/>
  <c r="I28" i="62"/>
  <c r="K28" i="62"/>
  <c r="K19" i="62"/>
  <c r="I19" i="62"/>
  <c r="G19" i="62"/>
  <c r="G8" i="62"/>
  <c r="I8" i="62"/>
  <c r="K8" i="62"/>
  <c r="I4" i="62"/>
  <c r="G4" i="62"/>
  <c r="K4" i="62"/>
  <c r="I24" i="62"/>
  <c r="G24" i="62"/>
  <c r="K24" i="62"/>
  <c r="I17" i="62"/>
  <c r="K17" i="62"/>
  <c r="G17" i="62"/>
  <c r="H14" i="62"/>
  <c r="H9" i="62"/>
  <c r="J9" i="62"/>
  <c r="W35" i="69" a="1"/>
  <c r="K5" i="72" a="1"/>
  <c r="Q5" i="69" a="1"/>
  <c r="U5" i="72" a="1"/>
  <c r="Q25" i="69" a="1"/>
  <c r="X5" i="69" a="1"/>
  <c r="O25" i="69" a="1"/>
  <c r="K5" i="72" l="1"/>
  <c r="W35" i="69"/>
  <c r="U5" i="72"/>
  <c r="M3" i="69"/>
  <c r="M13" i="69"/>
  <c r="S6" i="72"/>
  <c r="I6" i="72"/>
  <c r="X5" i="69"/>
  <c r="Q5" i="69"/>
  <c r="S5" i="69" s="1"/>
  <c r="M29" i="69"/>
  <c r="P6" i="69"/>
  <c r="O25" i="69"/>
  <c r="Q25" i="69"/>
  <c r="J30" i="62"/>
  <c r="J15" i="62"/>
  <c r="O33" i="62"/>
  <c r="L15" i="62"/>
  <c r="H11" i="62"/>
  <c r="J11" i="62"/>
  <c r="J4" i="62"/>
  <c r="H4" i="62"/>
  <c r="J19" i="62"/>
  <c r="H19" i="62"/>
  <c r="J2" i="62"/>
  <c r="H2" i="62"/>
  <c r="H23" i="62"/>
  <c r="J23" i="62"/>
  <c r="J3" i="62"/>
  <c r="H3" i="62"/>
  <c r="J28" i="62"/>
  <c r="H28" i="62"/>
  <c r="H17" i="62"/>
  <c r="J17" i="62"/>
  <c r="H29" i="62"/>
  <c r="J29" i="62"/>
  <c r="J34" i="62"/>
  <c r="H34" i="62"/>
  <c r="H22" i="62"/>
  <c r="J22" i="62"/>
  <c r="L30" i="62"/>
  <c r="O30" i="62"/>
  <c r="J8" i="62"/>
  <c r="H8" i="62"/>
  <c r="L7" i="62"/>
  <c r="O7" i="62"/>
  <c r="L9" i="62"/>
  <c r="O9" i="62"/>
  <c r="H13" i="62"/>
  <c r="J13" i="62"/>
  <c r="L14" i="62"/>
  <c r="O14" i="62"/>
  <c r="H31" i="62"/>
  <c r="J31" i="62"/>
  <c r="J24" i="62"/>
  <c r="H24" i="62"/>
  <c r="H32" i="62"/>
  <c r="J32" i="62"/>
  <c r="J20" i="62"/>
  <c r="H20" i="62"/>
  <c r="J21" i="62"/>
  <c r="H21" i="62"/>
  <c r="L6" i="62"/>
  <c r="O6" i="62"/>
  <c r="O5" i="69" a="1"/>
  <c r="V5" i="69" a="1"/>
  <c r="U6" i="72" a="1"/>
  <c r="T5" i="72" a="1"/>
  <c r="K6" i="72" a="1"/>
  <c r="J5" i="72" a="1"/>
  <c r="X35" i="69" a="1"/>
  <c r="X6" i="69" a="1"/>
  <c r="Q6" i="69" a="1"/>
  <c r="T5" i="72" l="1"/>
  <c r="J5" i="72"/>
  <c r="K6" i="72"/>
  <c r="U6" i="72"/>
  <c r="I7" i="72"/>
  <c r="S7" i="72"/>
  <c r="L5" i="72"/>
  <c r="M5" i="72" s="1"/>
  <c r="V5" i="72"/>
  <c r="W5" i="72" s="1"/>
  <c r="Q6" i="69"/>
  <c r="O5" i="69"/>
  <c r="V5" i="69"/>
  <c r="X6" i="69"/>
  <c r="X35" i="69"/>
  <c r="Y35" i="69" s="1"/>
  <c r="AA35" i="69" s="1"/>
  <c r="P7" i="69"/>
  <c r="R5" i="69"/>
  <c r="T5" i="69" s="1"/>
  <c r="Z5" i="69"/>
  <c r="Y5" i="69"/>
  <c r="AA5" i="69" s="1"/>
  <c r="R25" i="69"/>
  <c r="T25" i="69" s="1"/>
  <c r="S25" i="69"/>
  <c r="O11" i="62"/>
  <c r="L11" i="62"/>
  <c r="L29" i="62"/>
  <c r="O29" i="62"/>
  <c r="L13" i="62"/>
  <c r="O13" i="62"/>
  <c r="L17" i="62"/>
  <c r="O17" i="62"/>
  <c r="L3" i="62"/>
  <c r="O3" i="62"/>
  <c r="L20" i="62"/>
  <c r="O20" i="62"/>
  <c r="L8" i="62"/>
  <c r="O8" i="62"/>
  <c r="L23" i="62"/>
  <c r="O23" i="62"/>
  <c r="L2" i="62"/>
  <c r="O2" i="62"/>
  <c r="L32" i="62"/>
  <c r="O32" i="62"/>
  <c r="L24" i="62"/>
  <c r="O24" i="62"/>
  <c r="L19" i="62"/>
  <c r="O19" i="62"/>
  <c r="L28" i="62"/>
  <c r="O28" i="62"/>
  <c r="L21" i="62"/>
  <c r="O21" i="62"/>
  <c r="L22" i="62"/>
  <c r="O22" i="62"/>
  <c r="L34" i="62"/>
  <c r="O34" i="62"/>
  <c r="L4" i="62"/>
  <c r="O4" i="62"/>
  <c r="L31" i="62"/>
  <c r="O31" i="62"/>
  <c r="T6" i="72" a="1"/>
  <c r="K7" i="72" a="1"/>
  <c r="J6" i="72" a="1"/>
  <c r="O6" i="69" a="1"/>
  <c r="V35" i="69" a="1"/>
  <c r="U7" i="72" a="1"/>
  <c r="Q7" i="69" a="1"/>
  <c r="V6" i="69" a="1"/>
  <c r="X7" i="69" a="1"/>
  <c r="Z35" i="69" l="1"/>
  <c r="X5" i="72"/>
  <c r="P5" i="72"/>
  <c r="Z5" i="72"/>
  <c r="J6" i="72"/>
  <c r="T6" i="72"/>
  <c r="U7" i="72"/>
  <c r="K7" i="72"/>
  <c r="N5" i="72"/>
  <c r="S8" i="72"/>
  <c r="I8" i="72"/>
  <c r="V6" i="72"/>
  <c r="W6" i="72" s="1"/>
  <c r="L6" i="72"/>
  <c r="M6" i="72" s="1"/>
  <c r="V6" i="69"/>
  <c r="V35" i="69"/>
  <c r="X7" i="69"/>
  <c r="Q7" i="69"/>
  <c r="O6" i="69"/>
  <c r="P8" i="69"/>
  <c r="Z6" i="69"/>
  <c r="Y6" i="69"/>
  <c r="AA6" i="69" s="1"/>
  <c r="S6" i="69"/>
  <c r="R6" i="69"/>
  <c r="T6" i="69" s="1"/>
  <c r="K8" i="72" a="1"/>
  <c r="U8" i="72" a="1"/>
  <c r="V7" i="69" a="1"/>
  <c r="O7" i="69" a="1"/>
  <c r="X8" i="69" a="1"/>
  <c r="J7" i="72" a="1"/>
  <c r="Q8" i="69" a="1"/>
  <c r="Y5" i="72" a="1"/>
  <c r="T7" i="72" a="1"/>
  <c r="Y5" i="72" l="1"/>
  <c r="O5" i="72"/>
  <c r="Q5" i="72"/>
  <c r="N6" i="72"/>
  <c r="Z6" i="72"/>
  <c r="P6" i="72"/>
  <c r="T7" i="72"/>
  <c r="U8" i="72"/>
  <c r="K8" i="72"/>
  <c r="J7" i="72"/>
  <c r="X6" i="72"/>
  <c r="S9" i="72"/>
  <c r="I9" i="72"/>
  <c r="L7" i="72"/>
  <c r="M7" i="72" s="1"/>
  <c r="V7" i="72"/>
  <c r="W7" i="72" s="1"/>
  <c r="V7" i="69"/>
  <c r="O7" i="69"/>
  <c r="Q8" i="69"/>
  <c r="X8" i="69"/>
  <c r="P9" i="69"/>
  <c r="R7" i="69"/>
  <c r="T7" i="69" s="1"/>
  <c r="S7" i="69"/>
  <c r="Z7" i="69"/>
  <c r="Y7" i="69"/>
  <c r="AA7" i="69" s="1"/>
  <c r="V8" i="69" a="1"/>
  <c r="J8" i="72" a="1"/>
  <c r="K9" i="72" a="1"/>
  <c r="X9" i="69" a="1"/>
  <c r="U9" i="72" a="1"/>
  <c r="Q9" i="69" a="1"/>
  <c r="AA5" i="72" a="1"/>
  <c r="Y6" i="72" a="1"/>
  <c r="T8" i="72" a="1"/>
  <c r="O8" i="69" a="1"/>
  <c r="AA5" i="72" l="1"/>
  <c r="Y6" i="72"/>
  <c r="O6" i="72"/>
  <c r="Q6" i="72"/>
  <c r="N7" i="72"/>
  <c r="Z7" i="72"/>
  <c r="P7" i="72"/>
  <c r="T8" i="72"/>
  <c r="K9" i="72"/>
  <c r="J8" i="72"/>
  <c r="U9" i="72"/>
  <c r="X7" i="72"/>
  <c r="I10" i="72"/>
  <c r="S10" i="72"/>
  <c r="L8" i="72"/>
  <c r="M8" i="72" s="1"/>
  <c r="V8" i="72"/>
  <c r="W8" i="72" s="1"/>
  <c r="X9" i="69"/>
  <c r="O8" i="69"/>
  <c r="V8" i="69"/>
  <c r="Q9" i="69"/>
  <c r="P10" i="69"/>
  <c r="Z8" i="69"/>
  <c r="Y8" i="69"/>
  <c r="AA8" i="69" s="1"/>
  <c r="S8" i="69"/>
  <c r="R8" i="69"/>
  <c r="T8" i="69" s="1"/>
  <c r="Q10" i="69" a="1"/>
  <c r="Y7" i="72" a="1"/>
  <c r="X10" i="69" a="1"/>
  <c r="J9" i="72" a="1"/>
  <c r="K10" i="72" a="1"/>
  <c r="V9" i="69" a="1"/>
  <c r="T9" i="72" a="1"/>
  <c r="O9" i="69" a="1"/>
  <c r="U10" i="72" a="1"/>
  <c r="AA6" i="72" a="1"/>
  <c r="N8" i="72" l="1"/>
  <c r="O8" i="72" s="1"/>
  <c r="Y7" i="72"/>
  <c r="AA6" i="72"/>
  <c r="O7" i="72"/>
  <c r="Q7" i="72"/>
  <c r="X8" i="72"/>
  <c r="P8" i="72"/>
  <c r="Z8" i="72"/>
  <c r="T9" i="72"/>
  <c r="U10" i="72"/>
  <c r="J9" i="72"/>
  <c r="K10" i="72"/>
  <c r="S11" i="72"/>
  <c r="I11" i="72"/>
  <c r="V9" i="72"/>
  <c r="W9" i="72" s="1"/>
  <c r="L9" i="72"/>
  <c r="M9" i="72" s="1"/>
  <c r="Q10" i="69"/>
  <c r="O9" i="69"/>
  <c r="V9" i="69"/>
  <c r="X10" i="69"/>
  <c r="P11" i="69"/>
  <c r="R9" i="69"/>
  <c r="T9" i="69" s="1"/>
  <c r="S9" i="69"/>
  <c r="Z9" i="69"/>
  <c r="Y9" i="69"/>
  <c r="AA9" i="69" s="1"/>
  <c r="Y8" i="72" a="1"/>
  <c r="X11" i="69" a="1"/>
  <c r="U11" i="72" a="1"/>
  <c r="K11" i="72" a="1"/>
  <c r="Q11" i="69" a="1"/>
  <c r="J10" i="72" a="1"/>
  <c r="O10" i="69" a="1"/>
  <c r="T10" i="72" a="1"/>
  <c r="AA7" i="72" a="1"/>
  <c r="V10" i="69" a="1"/>
  <c r="Q8" i="72" l="1"/>
  <c r="N9" i="72"/>
  <c r="O9" i="72" s="1"/>
  <c r="AA7" i="72"/>
  <c r="Y8" i="72"/>
  <c r="Q9" i="72"/>
  <c r="X9" i="72"/>
  <c r="Z9" i="72"/>
  <c r="P9" i="72"/>
  <c r="J10" i="72"/>
  <c r="K11" i="72"/>
  <c r="T10" i="72"/>
  <c r="U11" i="72"/>
  <c r="I12" i="72"/>
  <c r="S12" i="72"/>
  <c r="L10" i="72"/>
  <c r="M10" i="72" s="1"/>
  <c r="V10" i="72"/>
  <c r="W10" i="72" s="1"/>
  <c r="V10" i="69"/>
  <c r="X11" i="69"/>
  <c r="O10" i="69"/>
  <c r="Q11" i="69"/>
  <c r="P12" i="69"/>
  <c r="Z10" i="69"/>
  <c r="Y10" i="69"/>
  <c r="AA10" i="69" s="1"/>
  <c r="R10" i="69"/>
  <c r="T10" i="69" s="1"/>
  <c r="S10" i="69"/>
  <c r="X12" i="69" a="1"/>
  <c r="V11" i="69" a="1"/>
  <c r="Q12" i="69" a="1"/>
  <c r="AA8" i="72" a="1"/>
  <c r="Y9" i="72" a="1"/>
  <c r="U12" i="72" a="1"/>
  <c r="J11" i="72" a="1"/>
  <c r="K12" i="72" a="1"/>
  <c r="T11" i="72" a="1"/>
  <c r="O11" i="69" a="1"/>
  <c r="AA8" i="72" l="1"/>
  <c r="Y9" i="72"/>
  <c r="Z10" i="72"/>
  <c r="P10" i="72"/>
  <c r="T11" i="72"/>
  <c r="U12" i="72"/>
  <c r="K12" i="72"/>
  <c r="J11" i="72"/>
  <c r="X10" i="72"/>
  <c r="N10" i="72"/>
  <c r="S13" i="72"/>
  <c r="I13" i="72"/>
  <c r="V11" i="72"/>
  <c r="W11" i="72" s="1"/>
  <c r="L11" i="72"/>
  <c r="M11" i="72" s="1"/>
  <c r="V11" i="69"/>
  <c r="X12" i="69"/>
  <c r="O11" i="69"/>
  <c r="Q12" i="69"/>
  <c r="R11" i="69"/>
  <c r="T11" i="69" s="1"/>
  <c r="S11" i="69"/>
  <c r="Z11" i="69"/>
  <c r="Y11" i="69"/>
  <c r="AA11" i="69" s="1"/>
  <c r="P13" i="69"/>
  <c r="J12" i="72" a="1"/>
  <c r="O12" i="69" a="1"/>
  <c r="AA9" i="72" a="1"/>
  <c r="U13" i="72" a="1"/>
  <c r="T12" i="72" a="1"/>
  <c r="Q13" i="69" a="1"/>
  <c r="K13" i="72" a="1"/>
  <c r="Y10" i="72" a="1"/>
  <c r="X13" i="69" a="1"/>
  <c r="V12" i="69" a="1"/>
  <c r="Y10" i="72" l="1"/>
  <c r="AA9" i="72"/>
  <c r="O10" i="72"/>
  <c r="Q10" i="72"/>
  <c r="P11" i="72"/>
  <c r="Z11" i="72"/>
  <c r="T12" i="72"/>
  <c r="J12" i="72"/>
  <c r="K13" i="72"/>
  <c r="U13" i="72"/>
  <c r="N11" i="72"/>
  <c r="X11" i="72"/>
  <c r="I14" i="72"/>
  <c r="S14" i="72"/>
  <c r="L12" i="72"/>
  <c r="M12" i="72" s="1"/>
  <c r="V12" i="72"/>
  <c r="W12" i="72" s="1"/>
  <c r="O12" i="69"/>
  <c r="V12" i="69"/>
  <c r="Q13" i="69"/>
  <c r="X13" i="69"/>
  <c r="P14" i="69"/>
  <c r="S12" i="69"/>
  <c r="R12" i="69"/>
  <c r="T12" i="69" s="1"/>
  <c r="Y12" i="69"/>
  <c r="AA12" i="69" s="1"/>
  <c r="Z12" i="69"/>
  <c r="AA10" i="72" a="1"/>
  <c r="K14" i="72" a="1"/>
  <c r="U14" i="72" a="1"/>
  <c r="O13" i="69" a="1"/>
  <c r="J13" i="72" a="1"/>
  <c r="Q14" i="69" a="1"/>
  <c r="X14" i="69" a="1"/>
  <c r="Y11" i="72" a="1"/>
  <c r="V13" i="69" a="1"/>
  <c r="T13" i="72" a="1"/>
  <c r="X12" i="72" l="1"/>
  <c r="Y11" i="72"/>
  <c r="AA10" i="72"/>
  <c r="O11" i="72"/>
  <c r="Q11" i="72"/>
  <c r="Z12" i="72"/>
  <c r="P12" i="72"/>
  <c r="J13" i="72"/>
  <c r="T13" i="72"/>
  <c r="U14" i="72"/>
  <c r="K14" i="72"/>
  <c r="N12" i="72"/>
  <c r="V13" i="72"/>
  <c r="W13" i="72" s="1"/>
  <c r="L13" i="72"/>
  <c r="M13" i="72" s="1"/>
  <c r="S15" i="72"/>
  <c r="I15" i="72"/>
  <c r="O13" i="69"/>
  <c r="Q14" i="69"/>
  <c r="V13" i="69"/>
  <c r="X14" i="69"/>
  <c r="P15" i="69"/>
  <c r="Z13" i="69"/>
  <c r="Y13" i="69"/>
  <c r="AA13" i="69" s="1"/>
  <c r="S13" i="69"/>
  <c r="R13" i="69"/>
  <c r="T13" i="69" s="1"/>
  <c r="K15" i="72" a="1"/>
  <c r="Y12" i="72" a="1"/>
  <c r="AA11" i="72" a="1"/>
  <c r="AA12" i="72" a="1"/>
  <c r="O14" i="69" a="1"/>
  <c r="T14" i="72" a="1"/>
  <c r="V14" i="69" a="1"/>
  <c r="J14" i="72" a="1"/>
  <c r="Q15" i="69" a="1"/>
  <c r="X15" i="69" a="1"/>
  <c r="U15" i="72" a="1"/>
  <c r="Y12" i="72" l="1"/>
  <c r="AA12" i="72"/>
  <c r="AA11" i="72"/>
  <c r="N13" i="72"/>
  <c r="O13" i="72" s="1"/>
  <c r="O12" i="72"/>
  <c r="Q12" i="72"/>
  <c r="P13" i="72"/>
  <c r="Z13" i="72"/>
  <c r="U15" i="72"/>
  <c r="J14" i="72"/>
  <c r="K15" i="72"/>
  <c r="T14" i="72"/>
  <c r="S16" i="72"/>
  <c r="I16" i="72"/>
  <c r="X13" i="72"/>
  <c r="L14" i="72"/>
  <c r="M14" i="72" s="1"/>
  <c r="V14" i="72"/>
  <c r="W14" i="72" s="1"/>
  <c r="V14" i="69"/>
  <c r="Q15" i="69"/>
  <c r="X15" i="69"/>
  <c r="O14" i="69"/>
  <c r="P16" i="69"/>
  <c r="R14" i="69"/>
  <c r="T14" i="69" s="1"/>
  <c r="S14" i="69"/>
  <c r="Y14" i="69"/>
  <c r="AA14" i="69" s="1"/>
  <c r="Z14" i="69"/>
  <c r="Q16" i="69" a="1"/>
  <c r="X16" i="69" a="1"/>
  <c r="K16" i="72" a="1"/>
  <c r="U16" i="72" a="1"/>
  <c r="Y13" i="72" a="1"/>
  <c r="V15" i="69" a="1"/>
  <c r="T15" i="72" a="1"/>
  <c r="O15" i="69" a="1"/>
  <c r="J15" i="72" a="1"/>
  <c r="Q13" i="72" l="1"/>
  <c r="Y13" i="72"/>
  <c r="N14" i="72"/>
  <c r="X14" i="72"/>
  <c r="Z14" i="72"/>
  <c r="P14" i="72"/>
  <c r="J15" i="72"/>
  <c r="K16" i="72"/>
  <c r="U16" i="72"/>
  <c r="T15" i="72"/>
  <c r="I17" i="72"/>
  <c r="S17" i="72"/>
  <c r="L15" i="72"/>
  <c r="M15" i="72" s="1"/>
  <c r="V15" i="72"/>
  <c r="W15" i="72" s="1"/>
  <c r="X16" i="69"/>
  <c r="V15" i="69"/>
  <c r="O15" i="69"/>
  <c r="Q16" i="69"/>
  <c r="P17" i="69"/>
  <c r="Y15" i="69"/>
  <c r="AA15" i="69" s="1"/>
  <c r="Z15" i="69"/>
  <c r="R15" i="69"/>
  <c r="T15" i="69" s="1"/>
  <c r="S15" i="69"/>
  <c r="Q17" i="69" a="1"/>
  <c r="J16" i="72" a="1"/>
  <c r="T16" i="72" a="1"/>
  <c r="U17" i="72" a="1"/>
  <c r="X17" i="69" a="1"/>
  <c r="Y14" i="72" a="1"/>
  <c r="O16" i="69" a="1"/>
  <c r="V16" i="69" a="1"/>
  <c r="K17" i="72" a="1"/>
  <c r="AA13" i="72" a="1"/>
  <c r="Y14" i="72" l="1"/>
  <c r="AA13" i="72"/>
  <c r="O14" i="72"/>
  <c r="Q14" i="72"/>
  <c r="X15" i="72"/>
  <c r="P15" i="72"/>
  <c r="N15" i="72"/>
  <c r="Z15" i="72"/>
  <c r="U17" i="72"/>
  <c r="T16" i="72"/>
  <c r="J16" i="72"/>
  <c r="K17" i="72"/>
  <c r="S18" i="72"/>
  <c r="I18" i="72"/>
  <c r="V16" i="72"/>
  <c r="W16" i="72" s="1"/>
  <c r="L16" i="72"/>
  <c r="M16" i="72" s="1"/>
  <c r="Q17" i="69"/>
  <c r="V16" i="69"/>
  <c r="X17" i="69"/>
  <c r="O16" i="69"/>
  <c r="P18" i="69"/>
  <c r="R16" i="69"/>
  <c r="T16" i="69" s="1"/>
  <c r="S16" i="69"/>
  <c r="Z16" i="69"/>
  <c r="Y16" i="69"/>
  <c r="AA16" i="69" s="1"/>
  <c r="O17" i="69" a="1"/>
  <c r="X18" i="69" a="1"/>
  <c r="K18" i="72" a="1"/>
  <c r="AA14" i="72" a="1"/>
  <c r="Q18" i="69" a="1"/>
  <c r="U18" i="72" a="1"/>
  <c r="T17" i="72" a="1"/>
  <c r="V17" i="69" a="1"/>
  <c r="J17" i="72" a="1"/>
  <c r="Y15" i="72" a="1"/>
  <c r="AA14" i="72" l="1"/>
  <c r="Y15" i="72"/>
  <c r="O15" i="72"/>
  <c r="Q15" i="72"/>
  <c r="X16" i="72"/>
  <c r="N16" i="72"/>
  <c r="P16" i="72"/>
  <c r="Z16" i="72"/>
  <c r="J17" i="72"/>
  <c r="K18" i="72"/>
  <c r="T17" i="72"/>
  <c r="U18" i="72"/>
  <c r="I19" i="72"/>
  <c r="S19" i="72"/>
  <c r="L17" i="72"/>
  <c r="M17" i="72" s="1"/>
  <c r="V17" i="72"/>
  <c r="W17" i="72" s="1"/>
  <c r="X18" i="69"/>
  <c r="V17" i="69"/>
  <c r="O17" i="69"/>
  <c r="Q18" i="69"/>
  <c r="P19" i="69"/>
  <c r="Z17" i="69"/>
  <c r="Y17" i="69"/>
  <c r="AA17" i="69" s="1"/>
  <c r="R17" i="69"/>
  <c r="T17" i="69" s="1"/>
  <c r="S17" i="69"/>
  <c r="X19" i="69" a="1"/>
  <c r="O18" i="69" a="1"/>
  <c r="T18" i="72" a="1"/>
  <c r="V18" i="69" a="1"/>
  <c r="U19" i="72" a="1"/>
  <c r="Y16" i="72" a="1"/>
  <c r="Q19" i="69" a="1"/>
  <c r="K19" i="72" a="1"/>
  <c r="J18" i="72" a="1"/>
  <c r="AA15" i="72" a="1"/>
  <c r="Y16" i="72" l="1"/>
  <c r="AA15" i="72"/>
  <c r="O16" i="72"/>
  <c r="Q16" i="72"/>
  <c r="P17" i="72"/>
  <c r="Z17" i="72"/>
  <c r="J18" i="72"/>
  <c r="U19" i="72"/>
  <c r="K19" i="72"/>
  <c r="T18" i="72"/>
  <c r="X17" i="72"/>
  <c r="N17" i="72"/>
  <c r="S20" i="72"/>
  <c r="V18" i="72"/>
  <c r="W18" i="72" s="1"/>
  <c r="I20" i="72"/>
  <c r="L18" i="72"/>
  <c r="M18" i="72" s="1"/>
  <c r="V18" i="69"/>
  <c r="O18" i="69"/>
  <c r="Q19" i="69"/>
  <c r="X19" i="69"/>
  <c r="S18" i="69"/>
  <c r="R18" i="69"/>
  <c r="T18" i="69" s="1"/>
  <c r="P20" i="69"/>
  <c r="Z18" i="69"/>
  <c r="Y18" i="69"/>
  <c r="AA18" i="69" s="1"/>
  <c r="U20" i="72" a="1"/>
  <c r="K20" i="72" a="1"/>
  <c r="O19" i="69" a="1"/>
  <c r="J19" i="72" a="1"/>
  <c r="T19" i="72" a="1"/>
  <c r="Q20" i="69" a="1"/>
  <c r="V19" i="69" a="1"/>
  <c r="AA16" i="72" a="1"/>
  <c r="X20" i="69" a="1"/>
  <c r="Y17" i="72" a="1"/>
  <c r="Y17" i="72" l="1"/>
  <c r="AA16" i="72"/>
  <c r="O17" i="72"/>
  <c r="Q17" i="72"/>
  <c r="X18" i="72"/>
  <c r="P18" i="72"/>
  <c r="Z18" i="72"/>
  <c r="K20" i="72"/>
  <c r="T19" i="72"/>
  <c r="U20" i="72"/>
  <c r="J19" i="72"/>
  <c r="I21" i="72"/>
  <c r="N18" i="72"/>
  <c r="S21" i="72"/>
  <c r="L19" i="72"/>
  <c r="M19" i="72" s="1"/>
  <c r="V19" i="72"/>
  <c r="W19" i="72" s="1"/>
  <c r="V19" i="69"/>
  <c r="X20" i="69"/>
  <c r="O19" i="69"/>
  <c r="Q20" i="69"/>
  <c r="P21" i="69"/>
  <c r="Y19" i="69"/>
  <c r="AA19" i="69" s="1"/>
  <c r="Z19" i="69"/>
  <c r="S19" i="69"/>
  <c r="R19" i="69"/>
  <c r="T19" i="69" s="1"/>
  <c r="Q21" i="69" a="1"/>
  <c r="O20" i="69" a="1"/>
  <c r="K21" i="72" a="1"/>
  <c r="AA17" i="72" a="1"/>
  <c r="U21" i="72" a="1"/>
  <c r="Y18" i="72" a="1"/>
  <c r="J20" i="72" a="1"/>
  <c r="T20" i="72" a="1"/>
  <c r="V20" i="69" a="1"/>
  <c r="X21" i="69" a="1"/>
  <c r="AA17" i="72" l="1"/>
  <c r="Y18" i="72"/>
  <c r="O18" i="72"/>
  <c r="Q18" i="72"/>
  <c r="N19" i="72"/>
  <c r="Z19" i="72"/>
  <c r="P19" i="72"/>
  <c r="T20" i="72"/>
  <c r="J20" i="72"/>
  <c r="U21" i="72"/>
  <c r="K21" i="72"/>
  <c r="X19" i="72"/>
  <c r="V20" i="72"/>
  <c r="W20" i="72" s="1"/>
  <c r="S22" i="72"/>
  <c r="I22" i="72"/>
  <c r="L20" i="72"/>
  <c r="M20" i="72" s="1"/>
  <c r="O20" i="69"/>
  <c r="Q21" i="69"/>
  <c r="V20" i="69"/>
  <c r="X21" i="69"/>
  <c r="P22" i="69"/>
  <c r="R20" i="69"/>
  <c r="T20" i="69" s="1"/>
  <c r="S20" i="69"/>
  <c r="Z20" i="69"/>
  <c r="Y20" i="69"/>
  <c r="AA20" i="69" s="1"/>
  <c r="X22" i="69" a="1"/>
  <c r="AA18" i="72" a="1"/>
  <c r="V21" i="69" a="1"/>
  <c r="T21" i="72" a="1"/>
  <c r="Y19" i="72" a="1"/>
  <c r="O21" i="69" a="1"/>
  <c r="U22" i="72" a="1"/>
  <c r="K22" i="72" a="1"/>
  <c r="Q22" i="69" a="1"/>
  <c r="J21" i="72" a="1"/>
  <c r="Y19" i="72" l="1"/>
  <c r="AA18" i="72"/>
  <c r="O19" i="72"/>
  <c r="Q19" i="72"/>
  <c r="X20" i="72"/>
  <c r="Z20" i="72"/>
  <c r="P20" i="72"/>
  <c r="T21" i="72"/>
  <c r="U22" i="72"/>
  <c r="J21" i="72"/>
  <c r="K22" i="72"/>
  <c r="S23" i="72"/>
  <c r="L21" i="72"/>
  <c r="M21" i="72" s="1"/>
  <c r="N20" i="72"/>
  <c r="I23" i="72"/>
  <c r="V21" i="72"/>
  <c r="W21" i="72" s="1"/>
  <c r="O21" i="69"/>
  <c r="V21" i="69"/>
  <c r="X22" i="69"/>
  <c r="Q22" i="69"/>
  <c r="P23" i="69"/>
  <c r="P24" i="69" s="1"/>
  <c r="Z21" i="69"/>
  <c r="Y21" i="69"/>
  <c r="AA21" i="69" s="1"/>
  <c r="S21" i="69"/>
  <c r="R21" i="69"/>
  <c r="T21" i="69" s="1"/>
  <c r="X23" i="69" a="1"/>
  <c r="O22" i="69" a="1"/>
  <c r="V22" i="69" a="1"/>
  <c r="Q23" i="69" a="1"/>
  <c r="U23" i="72" a="1"/>
  <c r="T22" i="72" a="1"/>
  <c r="J22" i="72" a="1"/>
  <c r="K23" i="72" a="1"/>
  <c r="Y20" i="72" a="1"/>
  <c r="AA19" i="72" a="1"/>
  <c r="Y20" i="72" l="1"/>
  <c r="AA19" i="72"/>
  <c r="X21" i="72"/>
  <c r="O20" i="72"/>
  <c r="Q20" i="72"/>
  <c r="N21" i="72"/>
  <c r="Z21" i="72"/>
  <c r="P21" i="72"/>
  <c r="K23" i="72"/>
  <c r="J22" i="72"/>
  <c r="T22" i="72"/>
  <c r="U23" i="72"/>
  <c r="I24" i="72"/>
  <c r="L22" i="72"/>
  <c r="M22" i="72" s="1"/>
  <c r="S24" i="72"/>
  <c r="V22" i="72"/>
  <c r="W22" i="72" s="1"/>
  <c r="V22" i="69"/>
  <c r="O22" i="69"/>
  <c r="Q23" i="69"/>
  <c r="X23" i="69"/>
  <c r="R22" i="69"/>
  <c r="T22" i="69" s="1"/>
  <c r="S22" i="69"/>
  <c r="Z22" i="69"/>
  <c r="Y22" i="69"/>
  <c r="AA22" i="69" s="1"/>
  <c r="V23" i="69" a="1"/>
  <c r="O23" i="69" a="1"/>
  <c r="U24" i="72" a="1"/>
  <c r="Y21" i="72" a="1"/>
  <c r="K24" i="72" a="1"/>
  <c r="T23" i="72" a="1"/>
  <c r="Q24" i="69" a="1"/>
  <c r="AA20" i="72" a="1"/>
  <c r="J23" i="72" a="1"/>
  <c r="X24" i="69" a="1"/>
  <c r="Y21" i="72" l="1"/>
  <c r="AA20" i="72"/>
  <c r="N22" i="72"/>
  <c r="O21" i="72"/>
  <c r="Q21" i="72"/>
  <c r="O22" i="72"/>
  <c r="Q22" i="72"/>
  <c r="Z22" i="72"/>
  <c r="P22" i="72"/>
  <c r="U24" i="72"/>
  <c r="J23" i="72"/>
  <c r="K24" i="72"/>
  <c r="T23" i="72"/>
  <c r="S25" i="72"/>
  <c r="I25" i="72"/>
  <c r="X22" i="72"/>
  <c r="V23" i="72"/>
  <c r="W23" i="72" s="1"/>
  <c r="L23" i="72"/>
  <c r="M23" i="72" s="1"/>
  <c r="V23" i="69"/>
  <c r="X24" i="69"/>
  <c r="O23" i="69"/>
  <c r="Q24" i="69"/>
  <c r="Z23" i="69"/>
  <c r="Y23" i="69"/>
  <c r="AA23" i="69" s="1"/>
  <c r="R23" i="69"/>
  <c r="T23" i="69" s="1"/>
  <c r="S23" i="69"/>
  <c r="J24" i="72" a="1"/>
  <c r="K25" i="72" a="1"/>
  <c r="Y22" i="72" a="1"/>
  <c r="X25" i="69" a="1"/>
  <c r="AA21" i="72" a="1"/>
  <c r="V24" i="69" a="1"/>
  <c r="O24" i="69" a="1"/>
  <c r="T24" i="72" a="1"/>
  <c r="U25" i="72" a="1"/>
  <c r="AA21" i="72" l="1"/>
  <c r="Y22" i="72"/>
  <c r="N23" i="72"/>
  <c r="P23" i="72"/>
  <c r="Z23" i="72"/>
  <c r="J24" i="72"/>
  <c r="K25" i="72"/>
  <c r="T24" i="72"/>
  <c r="U25" i="72"/>
  <c r="X23" i="72"/>
  <c r="I26" i="72"/>
  <c r="S26" i="72"/>
  <c r="L24" i="72"/>
  <c r="M24" i="72" s="1"/>
  <c r="V24" i="72"/>
  <c r="W24" i="72" s="1"/>
  <c r="O24" i="69"/>
  <c r="V24" i="69"/>
  <c r="X25" i="69"/>
  <c r="S24" i="69"/>
  <c r="R24" i="69"/>
  <c r="T24" i="69" s="1"/>
  <c r="Y24" i="69"/>
  <c r="AA24" i="69" s="1"/>
  <c r="Z24" i="69"/>
  <c r="X26" i="69" a="1"/>
  <c r="K26" i="72" a="1"/>
  <c r="J25" i="72" a="1"/>
  <c r="V25" i="69" a="1"/>
  <c r="AA22" i="72" a="1"/>
  <c r="T25" i="72" a="1"/>
  <c r="Y23" i="72" a="1"/>
  <c r="U26" i="72" a="1"/>
  <c r="Y23" i="72" l="1"/>
  <c r="AA22" i="72"/>
  <c r="O23" i="72"/>
  <c r="Q23" i="72"/>
  <c r="X24" i="72"/>
  <c r="Z24" i="72"/>
  <c r="P24" i="72"/>
  <c r="J25" i="72"/>
  <c r="T25" i="72"/>
  <c r="U26" i="72"/>
  <c r="K26" i="72"/>
  <c r="N24" i="72"/>
  <c r="S27" i="72"/>
  <c r="I27" i="72"/>
  <c r="V25" i="72"/>
  <c r="W25" i="72" s="1"/>
  <c r="L25" i="72"/>
  <c r="M25" i="72" s="1"/>
  <c r="V25" i="69"/>
  <c r="X26" i="69"/>
  <c r="Y25" i="69"/>
  <c r="AA25" i="69" s="1"/>
  <c r="Z25" i="69"/>
  <c r="J26" i="72" a="1"/>
  <c r="X27" i="69" a="1"/>
  <c r="U27" i="72" a="1"/>
  <c r="V26" i="69" a="1"/>
  <c r="T26" i="72" a="1"/>
  <c r="Y24" i="72" a="1"/>
  <c r="AA23" i="72" a="1"/>
  <c r="K27" i="72" a="1"/>
  <c r="AA23" i="72" l="1"/>
  <c r="Y24" i="72"/>
  <c r="X25" i="72"/>
  <c r="O24" i="72"/>
  <c r="Q24" i="72"/>
  <c r="P25" i="72"/>
  <c r="Z25" i="72"/>
  <c r="J26" i="72"/>
  <c r="U27" i="72"/>
  <c r="K27" i="72"/>
  <c r="T26" i="72"/>
  <c r="S28" i="72"/>
  <c r="L26" i="72"/>
  <c r="M26" i="72" s="1"/>
  <c r="I28" i="72"/>
  <c r="N25" i="72"/>
  <c r="V26" i="72"/>
  <c r="W26" i="72" s="1"/>
  <c r="V26" i="69"/>
  <c r="X27" i="69"/>
  <c r="Z26" i="69"/>
  <c r="Y26" i="69"/>
  <c r="AA26" i="69" s="1"/>
  <c r="Y25" i="72" a="1"/>
  <c r="X28" i="69" a="1"/>
  <c r="U28" i="72" a="1"/>
  <c r="K28" i="72" a="1"/>
  <c r="V27" i="69" a="1"/>
  <c r="T27" i="72" a="1"/>
  <c r="AA24" i="72" a="1"/>
  <c r="J27" i="72" a="1"/>
  <c r="AA24" i="72" l="1"/>
  <c r="Y25" i="72"/>
  <c r="O25" i="72"/>
  <c r="Q25" i="72"/>
  <c r="Z26" i="72"/>
  <c r="P26" i="72"/>
  <c r="J27" i="72"/>
  <c r="K28" i="72"/>
  <c r="T27" i="72"/>
  <c r="U28" i="72"/>
  <c r="X26" i="72"/>
  <c r="N26" i="72"/>
  <c r="V27" i="72"/>
  <c r="W27" i="72" s="1"/>
  <c r="I29" i="72"/>
  <c r="S29" i="72"/>
  <c r="L27" i="72"/>
  <c r="M27" i="72" s="1"/>
  <c r="V27" i="69"/>
  <c r="X28" i="69"/>
  <c r="Z27" i="69"/>
  <c r="Y27" i="69"/>
  <c r="AA27" i="69" s="1"/>
  <c r="X29" i="69" a="1"/>
  <c r="AA25" i="72" a="1"/>
  <c r="U29" i="72" a="1"/>
  <c r="T28" i="72" a="1"/>
  <c r="J28" i="72" a="1"/>
  <c r="F7" i="78" a="1"/>
  <c r="Y26" i="72" a="1"/>
  <c r="V28" i="69" a="1"/>
  <c r="K29" i="72" a="1"/>
  <c r="F7" i="78" l="1"/>
  <c r="D7" i="78" s="1"/>
  <c r="Y26" i="72"/>
  <c r="AA25" i="72"/>
  <c r="O26" i="72"/>
  <c r="Q26" i="72"/>
  <c r="N27" i="72"/>
  <c r="P27" i="72"/>
  <c r="Z27" i="72"/>
  <c r="J28" i="72"/>
  <c r="K29" i="72"/>
  <c r="U29" i="72"/>
  <c r="T28" i="72"/>
  <c r="I30" i="72"/>
  <c r="X27" i="72"/>
  <c r="S30" i="72"/>
  <c r="L28" i="72"/>
  <c r="M28" i="72" s="1"/>
  <c r="V28" i="72"/>
  <c r="W28" i="72" s="1"/>
  <c r="V28" i="69"/>
  <c r="X29" i="69"/>
  <c r="Z28" i="69"/>
  <c r="Y28" i="69"/>
  <c r="AA28" i="69" s="1"/>
  <c r="K30" i="72" a="1"/>
  <c r="Y27" i="72" a="1"/>
  <c r="U30" i="72" a="1"/>
  <c r="J29" i="72" a="1"/>
  <c r="V29" i="69" a="1"/>
  <c r="AA26" i="72" a="1"/>
  <c r="T29" i="72" a="1"/>
  <c r="X30" i="69" a="1"/>
  <c r="X28" i="72" l="1"/>
  <c r="Y27" i="72"/>
  <c r="AA26" i="72"/>
  <c r="O27" i="72"/>
  <c r="Q27" i="72"/>
  <c r="P28" i="72"/>
  <c r="Z28" i="72"/>
  <c r="N28" i="72"/>
  <c r="K30" i="72"/>
  <c r="J29" i="72"/>
  <c r="T29" i="72"/>
  <c r="U30" i="72"/>
  <c r="I31" i="72"/>
  <c r="L29" i="72"/>
  <c r="M29" i="72" s="1"/>
  <c r="S31" i="72"/>
  <c r="V29" i="72"/>
  <c r="W29" i="72" s="1"/>
  <c r="X30" i="69"/>
  <c r="V29" i="69"/>
  <c r="Y29" i="69"/>
  <c r="AA29" i="69" s="1"/>
  <c r="Z29" i="69"/>
  <c r="U31" i="72" a="1"/>
  <c r="V30" i="69" a="1"/>
  <c r="K31" i="72" a="1"/>
  <c r="AA27" i="72" a="1"/>
  <c r="J30" i="72" a="1"/>
  <c r="Y28" i="72" a="1"/>
  <c r="X31" i="69" a="1"/>
  <c r="T30" i="72" a="1"/>
  <c r="AA28" i="72" a="1"/>
  <c r="Y28" i="72" l="1"/>
  <c r="X29" i="72"/>
  <c r="AA27" i="72"/>
  <c r="AA28" i="72"/>
  <c r="O28" i="72"/>
  <c r="Q28" i="72"/>
  <c r="N29" i="72"/>
  <c r="P29" i="72"/>
  <c r="Z29" i="72"/>
  <c r="T30" i="72"/>
  <c r="U31" i="72"/>
  <c r="K31" i="72"/>
  <c r="J30" i="72"/>
  <c r="S32" i="72"/>
  <c r="I32" i="72"/>
  <c r="V30" i="72"/>
  <c r="W30" i="72" s="1"/>
  <c r="L30" i="72"/>
  <c r="M30" i="72" s="1"/>
  <c r="V30" i="69"/>
  <c r="X31" i="69"/>
  <c r="Y30" i="69"/>
  <c r="AA30" i="69" s="1"/>
  <c r="Z30" i="69"/>
  <c r="T31" i="72" a="1"/>
  <c r="K32" i="72" a="1"/>
  <c r="J31" i="72" a="1"/>
  <c r="Y29" i="72" a="1"/>
  <c r="U32" i="72" a="1"/>
  <c r="V31" i="69" a="1"/>
  <c r="AA29" i="72" a="1"/>
  <c r="X32" i="69" a="1"/>
  <c r="Y29" i="72" l="1"/>
  <c r="AA29" i="72"/>
  <c r="N30" i="72"/>
  <c r="O29" i="72"/>
  <c r="Q29" i="72"/>
  <c r="O30" i="72"/>
  <c r="Q30" i="72"/>
  <c r="X30" i="72"/>
  <c r="P30" i="72"/>
  <c r="Z30" i="72"/>
  <c r="J31" i="72"/>
  <c r="K32" i="72"/>
  <c r="T31" i="72"/>
  <c r="U32" i="72"/>
  <c r="I33" i="72"/>
  <c r="S33" i="72"/>
  <c r="L31" i="72"/>
  <c r="M31" i="72" s="1"/>
  <c r="V31" i="72"/>
  <c r="W31" i="72" s="1"/>
  <c r="V31" i="69"/>
  <c r="X32" i="69"/>
  <c r="Z31" i="69"/>
  <c r="Y31" i="69"/>
  <c r="AA31" i="69" s="1"/>
  <c r="J32" i="72" a="1"/>
  <c r="Y30" i="72" a="1"/>
  <c r="V32" i="69" a="1"/>
  <c r="X33" i="69" a="1"/>
  <c r="T32" i="72" a="1"/>
  <c r="U33" i="72" a="1"/>
  <c r="K33" i="72" a="1"/>
  <c r="X31" i="72" l="1"/>
  <c r="Y30" i="72"/>
  <c r="Z31" i="72"/>
  <c r="P31" i="72"/>
  <c r="U33" i="72"/>
  <c r="J32" i="72"/>
  <c r="T32" i="72"/>
  <c r="K33" i="72"/>
  <c r="S34" i="72"/>
  <c r="V32" i="72"/>
  <c r="W32" i="72" s="1"/>
  <c r="L32" i="72"/>
  <c r="M32" i="72" s="1"/>
  <c r="N31" i="72"/>
  <c r="I34" i="72"/>
  <c r="V32" i="69"/>
  <c r="X33" i="69"/>
  <c r="Y32" i="69"/>
  <c r="AA32" i="69" s="1"/>
  <c r="Z32" i="69"/>
  <c r="AA30" i="72" a="1"/>
  <c r="AA31" i="72" a="1"/>
  <c r="Y31" i="72" a="1"/>
  <c r="K34" i="72" a="1"/>
  <c r="X34" i="69" a="1"/>
  <c r="J33" i="72" a="1"/>
  <c r="T33" i="72" a="1"/>
  <c r="V33" i="69" a="1"/>
  <c r="U34" i="72" a="1"/>
  <c r="Y31" i="72" l="1"/>
  <c r="AA30" i="72"/>
  <c r="AA31" i="72"/>
  <c r="O31" i="72"/>
  <c r="Q31" i="72"/>
  <c r="X32" i="72"/>
  <c r="P32" i="72"/>
  <c r="Z32" i="72"/>
  <c r="J33" i="72"/>
  <c r="K34" i="72"/>
  <c r="T33" i="72"/>
  <c r="U34" i="72"/>
  <c r="I35" i="72"/>
  <c r="N32" i="72"/>
  <c r="S35" i="72"/>
  <c r="L33" i="72"/>
  <c r="M33" i="72" s="1"/>
  <c r="V33" i="72"/>
  <c r="W33" i="72" s="1"/>
  <c r="V33" i="69"/>
  <c r="X34" i="69"/>
  <c r="Z33" i="69"/>
  <c r="Y33" i="69"/>
  <c r="AA33" i="69" s="1"/>
  <c r="V34" i="69" a="1"/>
  <c r="K35" i="72" a="1"/>
  <c r="Y32" i="72" a="1"/>
  <c r="T34" i="72" a="1"/>
  <c r="J34" i="72" a="1"/>
  <c r="U35" i="72" a="1"/>
  <c r="Y32" i="72" l="1"/>
  <c r="O32" i="72"/>
  <c r="Q32" i="72"/>
  <c r="X33" i="72"/>
  <c r="Z33" i="72"/>
  <c r="P33" i="72"/>
  <c r="T34" i="72"/>
  <c r="U35" i="72"/>
  <c r="J34" i="72"/>
  <c r="K35" i="72"/>
  <c r="N33" i="72"/>
  <c r="S36" i="72"/>
  <c r="I36" i="72"/>
  <c r="V34" i="72"/>
  <c r="W34" i="72" s="1"/>
  <c r="L34" i="72"/>
  <c r="M34" i="72" s="1"/>
  <c r="V34" i="69"/>
  <c r="Y34" i="69"/>
  <c r="AA34" i="69" s="1"/>
  <c r="Z34" i="69"/>
  <c r="AA32" i="72" a="1"/>
  <c r="T35" i="72" a="1"/>
  <c r="U36" i="72" a="1"/>
  <c r="K36" i="72" a="1"/>
  <c r="J35" i="72" a="1"/>
  <c r="Y33" i="72" a="1"/>
  <c r="Y33" i="72" l="1"/>
  <c r="AA32" i="72"/>
  <c r="O33" i="72"/>
  <c r="Q33" i="72"/>
  <c r="N34" i="72"/>
  <c r="Z34" i="72"/>
  <c r="P34" i="72"/>
  <c r="J35" i="72"/>
  <c r="K36" i="72"/>
  <c r="T35" i="72"/>
  <c r="U36" i="72"/>
  <c r="X34" i="72"/>
  <c r="I37" i="72"/>
  <c r="S37" i="72"/>
  <c r="L35" i="72"/>
  <c r="M35" i="72" s="1"/>
  <c r="V35" i="72"/>
  <c r="W35" i="72" s="1"/>
  <c r="Y34" i="72" a="1"/>
  <c r="T36" i="72" a="1"/>
  <c r="U37" i="72" a="1"/>
  <c r="K37" i="72" a="1"/>
  <c r="J36" i="72" a="1"/>
  <c r="AA33" i="72" a="1"/>
  <c r="AA33" i="72" l="1"/>
  <c r="Y34" i="72"/>
  <c r="N35" i="72"/>
  <c r="O34" i="72"/>
  <c r="Q34" i="72"/>
  <c r="O35" i="72"/>
  <c r="Q35" i="72"/>
  <c r="Z35" i="72"/>
  <c r="P35" i="72"/>
  <c r="K37" i="72"/>
  <c r="J36" i="72"/>
  <c r="T36" i="72"/>
  <c r="U37" i="72"/>
  <c r="I38" i="72"/>
  <c r="X35" i="72"/>
  <c r="V36" i="72"/>
  <c r="W36" i="72" s="1"/>
  <c r="S38" i="72"/>
  <c r="L36" i="72"/>
  <c r="M36" i="72" s="1"/>
  <c r="U38" i="72" a="1"/>
  <c r="AA34" i="72" a="1"/>
  <c r="Y35" i="72" a="1"/>
  <c r="J37" i="72" a="1"/>
  <c r="T37" i="72" a="1"/>
  <c r="K38" i="72" a="1"/>
  <c r="AA34" i="72" l="1"/>
  <c r="Y35" i="72"/>
  <c r="Z36" i="72"/>
  <c r="P36" i="72"/>
  <c r="U38" i="72"/>
  <c r="J37" i="72"/>
  <c r="T37" i="72"/>
  <c r="K38" i="72"/>
  <c r="N36" i="72"/>
  <c r="S39" i="72"/>
  <c r="X36" i="72"/>
  <c r="I39" i="72"/>
  <c r="V37" i="72"/>
  <c r="W37" i="72" s="1"/>
  <c r="L37" i="72"/>
  <c r="M37" i="72" s="1"/>
  <c r="T38" i="72" a="1"/>
  <c r="AA35" i="72" a="1"/>
  <c r="K39" i="72" a="1"/>
  <c r="J38" i="72" a="1"/>
  <c r="Y36" i="72" a="1"/>
  <c r="U39" i="72" a="1"/>
  <c r="Y36" i="72" l="1"/>
  <c r="AA35" i="72"/>
  <c r="O36" i="72"/>
  <c r="Q36" i="72"/>
  <c r="N37" i="72"/>
  <c r="X37" i="72"/>
  <c r="P37" i="72"/>
  <c r="Z37" i="72"/>
  <c r="J38" i="72"/>
  <c r="K39" i="72"/>
  <c r="T38" i="72"/>
  <c r="U39" i="72"/>
  <c r="I40" i="72"/>
  <c r="S40" i="72"/>
  <c r="L38" i="72"/>
  <c r="M38" i="72" s="1"/>
  <c r="V38" i="72"/>
  <c r="W38" i="72" s="1"/>
  <c r="U40" i="72" a="1"/>
  <c r="Y37" i="72" a="1"/>
  <c r="J39" i="72" a="1"/>
  <c r="AA36" i="72" a="1"/>
  <c r="T39" i="72" a="1"/>
  <c r="K40" i="72" a="1"/>
  <c r="AA36" i="72" l="1"/>
  <c r="Y37" i="72"/>
  <c r="O37" i="72"/>
  <c r="Q37" i="72"/>
  <c r="Z38" i="72"/>
  <c r="P38" i="72"/>
  <c r="J39" i="72"/>
  <c r="T39" i="72"/>
  <c r="U40" i="72"/>
  <c r="K40" i="72"/>
  <c r="X38" i="72"/>
  <c r="N38" i="72"/>
  <c r="S41" i="72"/>
  <c r="I41" i="72"/>
  <c r="V39" i="72"/>
  <c r="W39" i="72" s="1"/>
  <c r="L39" i="72"/>
  <c r="M39" i="72" s="1"/>
  <c r="J40" i="72" a="1"/>
  <c r="T40" i="72" a="1"/>
  <c r="AA37" i="72" a="1"/>
  <c r="U41" i="72" a="1"/>
  <c r="F14" i="78" a="1"/>
  <c r="K41" i="72" a="1"/>
  <c r="Y38" i="72" a="1"/>
  <c r="F14" i="78" l="1"/>
  <c r="AA37" i="72"/>
  <c r="Y38" i="72"/>
  <c r="O38" i="72"/>
  <c r="Q38" i="72"/>
  <c r="X39" i="72"/>
  <c r="P39" i="72"/>
  <c r="Z39" i="72"/>
  <c r="T40" i="72"/>
  <c r="U41" i="72"/>
  <c r="J40" i="72"/>
  <c r="K41" i="72"/>
  <c r="S42" i="72"/>
  <c r="N39" i="72"/>
  <c r="I42" i="72"/>
  <c r="L40" i="72"/>
  <c r="M40" i="72" s="1"/>
  <c r="V40" i="72"/>
  <c r="W40" i="72" s="1"/>
  <c r="J41" i="72" a="1"/>
  <c r="U42" i="72" a="1"/>
  <c r="D14" i="78" a="1"/>
  <c r="T41" i="72" a="1"/>
  <c r="Y39" i="72" a="1"/>
  <c r="AA38" i="72" a="1"/>
  <c r="K42" i="72" a="1"/>
  <c r="D14" i="78" l="1"/>
  <c r="N40" i="72"/>
  <c r="Y39" i="72"/>
  <c r="AA38" i="72"/>
  <c r="O40" i="72"/>
  <c r="Q40" i="72"/>
  <c r="O39" i="72"/>
  <c r="Q39" i="72"/>
  <c r="X40" i="72"/>
  <c r="P40" i="72"/>
  <c r="Z40" i="72"/>
  <c r="J41" i="72"/>
  <c r="K42" i="72"/>
  <c r="T41" i="72"/>
  <c r="U42" i="72"/>
  <c r="I43" i="72"/>
  <c r="S43" i="72"/>
  <c r="L41" i="72"/>
  <c r="M41" i="72" s="1"/>
  <c r="V41" i="72"/>
  <c r="W41" i="72" s="1"/>
  <c r="U43" i="72" a="1"/>
  <c r="K43" i="72" a="1"/>
  <c r="T42" i="72" a="1"/>
  <c r="J42" i="72" a="1"/>
  <c r="AA39" i="72" a="1"/>
  <c r="Y40" i="72" a="1"/>
  <c r="Y40" i="72" l="1"/>
  <c r="AA39" i="72"/>
  <c r="N41" i="72"/>
  <c r="Z41" i="72"/>
  <c r="P41" i="72"/>
  <c r="J42" i="72"/>
  <c r="K43" i="72"/>
  <c r="T42" i="72"/>
  <c r="U43" i="72"/>
  <c r="X41" i="72"/>
  <c r="I44" i="72"/>
  <c r="V42" i="72"/>
  <c r="W42" i="72" s="1"/>
  <c r="L42" i="72"/>
  <c r="M42" i="72" s="1"/>
  <c r="S44" i="72"/>
  <c r="U44" i="72" a="1"/>
  <c r="K44" i="72" a="1"/>
  <c r="AA40" i="72" a="1"/>
  <c r="Y41" i="72" a="1"/>
  <c r="T43" i="72" a="1"/>
  <c r="J43" i="72" a="1"/>
  <c r="Y41" i="72" l="1"/>
  <c r="AA40" i="72"/>
  <c r="O41" i="72"/>
  <c r="Q41" i="72"/>
  <c r="N42" i="72"/>
  <c r="X42" i="72"/>
  <c r="P42" i="72"/>
  <c r="Z42" i="72"/>
  <c r="T43" i="72"/>
  <c r="U44" i="72"/>
  <c r="J43" i="72"/>
  <c r="K44" i="72"/>
  <c r="S45" i="72"/>
  <c r="I45" i="72"/>
  <c r="V43" i="72"/>
  <c r="W43" i="72" s="1"/>
  <c r="L43" i="72"/>
  <c r="M43" i="72" s="1"/>
  <c r="T44" i="72" a="1"/>
  <c r="Y42" i="72" a="1"/>
  <c r="K45" i="72" a="1"/>
  <c r="U45" i="72" a="1"/>
  <c r="AA41" i="72" a="1"/>
  <c r="J44" i="72" a="1"/>
  <c r="X43" i="72" l="1"/>
  <c r="AA41" i="72"/>
  <c r="Y42" i="72"/>
  <c r="O42" i="72"/>
  <c r="Q42" i="72"/>
  <c r="P43" i="72"/>
  <c r="Z43" i="72"/>
  <c r="J44" i="72"/>
  <c r="K45" i="72"/>
  <c r="T44" i="72"/>
  <c r="U45" i="72"/>
  <c r="N43" i="72"/>
  <c r="I46" i="72"/>
  <c r="S46" i="72"/>
  <c r="L44" i="72"/>
  <c r="M44" i="72" s="1"/>
  <c r="V44" i="72"/>
  <c r="W44" i="72" s="1"/>
  <c r="Y43" i="72" a="1"/>
  <c r="J45" i="72" a="1"/>
  <c r="T45" i="72" a="1"/>
  <c r="AA42" i="72" a="1"/>
  <c r="K46" i="72" a="1"/>
  <c r="AA43" i="72" a="1"/>
  <c r="U46" i="72" a="1"/>
  <c r="Y43" i="72" l="1"/>
  <c r="AA42" i="72"/>
  <c r="AA43" i="72"/>
  <c r="O43" i="72"/>
  <c r="Q43" i="72"/>
  <c r="P44" i="72"/>
  <c r="Z44" i="72"/>
  <c r="T45" i="72"/>
  <c r="J45" i="72"/>
  <c r="U46" i="72"/>
  <c r="K46" i="72"/>
  <c r="X44" i="72"/>
  <c r="N44" i="72"/>
  <c r="V45" i="72"/>
  <c r="W45" i="72" s="1"/>
  <c r="L45" i="72"/>
  <c r="M45" i="72" s="1"/>
  <c r="S47" i="72"/>
  <c r="I47" i="72"/>
  <c r="T46" i="72" a="1"/>
  <c r="U47" i="72" a="1"/>
  <c r="J46" i="72" a="1"/>
  <c r="Y44" i="72" a="1"/>
  <c r="K47" i="72" a="1"/>
  <c r="Y44" i="72" l="1"/>
  <c r="O44" i="72"/>
  <c r="Q44" i="72"/>
  <c r="N45" i="72"/>
  <c r="X45" i="72"/>
  <c r="P45" i="72"/>
  <c r="Z45" i="72"/>
  <c r="T46" i="72"/>
  <c r="J46" i="72"/>
  <c r="K47" i="72"/>
  <c r="U47" i="72"/>
  <c r="I48" i="72"/>
  <c r="S48" i="72"/>
  <c r="L46" i="72"/>
  <c r="M46" i="72" s="1"/>
  <c r="V46" i="72"/>
  <c r="W46" i="72" s="1"/>
  <c r="T47" i="72" a="1"/>
  <c r="U48" i="72" a="1"/>
  <c r="Y45" i="72" a="1"/>
  <c r="AA44" i="72" a="1"/>
  <c r="J47" i="72" a="1"/>
  <c r="K48" i="72" a="1"/>
  <c r="Y45" i="72" l="1"/>
  <c r="AA44" i="72"/>
  <c r="O45" i="72"/>
  <c r="Q45" i="72"/>
  <c r="Z46" i="72"/>
  <c r="P46" i="72"/>
  <c r="T47" i="72"/>
  <c r="J47" i="72"/>
  <c r="K48" i="72"/>
  <c r="U48" i="72"/>
  <c r="X46" i="72"/>
  <c r="N46" i="72"/>
  <c r="I49" i="72"/>
  <c r="V47" i="72"/>
  <c r="W47" i="72" s="1"/>
  <c r="L47" i="72"/>
  <c r="M47" i="72" s="1"/>
  <c r="S49" i="72"/>
  <c r="T48" i="72" a="1"/>
  <c r="U49" i="72" a="1"/>
  <c r="AA45" i="72" a="1"/>
  <c r="J48" i="72" a="1"/>
  <c r="K49" i="72" a="1"/>
  <c r="Y46" i="72" a="1"/>
  <c r="Y46" i="72" l="1"/>
  <c r="AA45" i="72"/>
  <c r="O46" i="72"/>
  <c r="Q46" i="72"/>
  <c r="Z47" i="72"/>
  <c r="P47" i="72"/>
  <c r="T48" i="72"/>
  <c r="U49" i="72"/>
  <c r="J48" i="72"/>
  <c r="K49" i="72"/>
  <c r="S50" i="72"/>
  <c r="N47" i="72"/>
  <c r="V48" i="72"/>
  <c r="W48" i="72" s="1"/>
  <c r="L48" i="72"/>
  <c r="M48" i="72" s="1"/>
  <c r="X47" i="72"/>
  <c r="I50" i="72"/>
  <c r="J49" i="72" a="1"/>
  <c r="T49" i="72" a="1"/>
  <c r="K50" i="72" a="1"/>
  <c r="U50" i="72" a="1"/>
  <c r="AA46" i="72" a="1"/>
  <c r="Y47" i="72" a="1"/>
  <c r="AA46" i="72" l="1"/>
  <c r="Y47" i="72"/>
  <c r="O47" i="72"/>
  <c r="Q47" i="72"/>
  <c r="N48" i="72"/>
  <c r="Z48" i="72"/>
  <c r="P48" i="72"/>
  <c r="J49" i="72"/>
  <c r="K50" i="72"/>
  <c r="T49" i="72"/>
  <c r="U50" i="72"/>
  <c r="I51" i="72"/>
  <c r="X48" i="72"/>
  <c r="S51" i="72"/>
  <c r="L49" i="72"/>
  <c r="M49" i="72" s="1"/>
  <c r="V49" i="72"/>
  <c r="W49" i="72" s="1"/>
  <c r="J50" i="72" a="1"/>
  <c r="K51" i="72" a="1"/>
  <c r="AA47" i="72" a="1"/>
  <c r="T50" i="72" a="1"/>
  <c r="Y48" i="72" a="1"/>
  <c r="U51" i="72" a="1"/>
  <c r="Y48" i="72" l="1"/>
  <c r="AA47" i="72"/>
  <c r="O48" i="72"/>
  <c r="Q48" i="72"/>
  <c r="Z49" i="72"/>
  <c r="X49" i="72"/>
  <c r="P49" i="72"/>
  <c r="T50" i="72"/>
  <c r="U51" i="72"/>
  <c r="J50" i="72"/>
  <c r="K51" i="72"/>
  <c r="N49" i="72"/>
  <c r="S52" i="72"/>
  <c r="I52" i="72"/>
  <c r="V50" i="72"/>
  <c r="W50" i="72" s="1"/>
  <c r="L50" i="72"/>
  <c r="M50" i="72" s="1"/>
  <c r="J51" i="72" a="1"/>
  <c r="T51" i="72" a="1"/>
  <c r="U52" i="72" a="1"/>
  <c r="K52" i="72" a="1"/>
  <c r="AA48" i="72" a="1"/>
  <c r="Y49" i="72" a="1"/>
  <c r="Y49" i="72" l="1"/>
  <c r="AA48" i="72"/>
  <c r="O49" i="72"/>
  <c r="Q49" i="72"/>
  <c r="N50" i="72"/>
  <c r="P50" i="72"/>
  <c r="Z50" i="72"/>
  <c r="J51" i="72"/>
  <c r="K52" i="72"/>
  <c r="U52" i="72"/>
  <c r="T51" i="72"/>
  <c r="X50" i="72"/>
  <c r="I53" i="72"/>
  <c r="S53" i="72"/>
  <c r="L51" i="72"/>
  <c r="M51" i="72" s="1"/>
  <c r="V51" i="72"/>
  <c r="W51" i="72" s="1"/>
  <c r="Y50" i="72" a="1"/>
  <c r="AA49" i="72" a="1"/>
  <c r="U53" i="72" a="1"/>
  <c r="T52" i="72" a="1"/>
  <c r="J52" i="72" a="1"/>
  <c r="K53" i="72" a="1"/>
  <c r="AA49" i="72" l="1"/>
  <c r="Y50" i="72"/>
  <c r="O50" i="72"/>
  <c r="Q50" i="72"/>
  <c r="X51" i="72"/>
  <c r="Z51" i="72"/>
  <c r="P51" i="72"/>
  <c r="U53" i="72"/>
  <c r="T52" i="72"/>
  <c r="J52" i="72"/>
  <c r="K53" i="72"/>
  <c r="N51" i="72"/>
  <c r="V52" i="72"/>
  <c r="W52" i="72" s="1"/>
  <c r="L52" i="72"/>
  <c r="M52" i="72" s="1"/>
  <c r="T53" i="72" a="1"/>
  <c r="AA50" i="72" a="1"/>
  <c r="Y51" i="72" a="1"/>
  <c r="J53" i="72" a="1"/>
  <c r="Y51" i="72" l="1"/>
  <c r="AA50" i="72"/>
  <c r="O51" i="72"/>
  <c r="Q51" i="72"/>
  <c r="X52" i="72"/>
  <c r="P52" i="72"/>
  <c r="Z52" i="72"/>
  <c r="J53" i="72"/>
  <c r="T53" i="72"/>
  <c r="N52" i="72"/>
  <c r="L53" i="72"/>
  <c r="M53" i="72" s="1"/>
  <c r="V53" i="72"/>
  <c r="W53" i="72" s="1"/>
  <c r="Y52" i="72" a="1"/>
  <c r="AA51" i="72" a="1"/>
  <c r="Y52" i="72" l="1"/>
  <c r="AA51" i="72"/>
  <c r="O52" i="72"/>
  <c r="Q52" i="72"/>
  <c r="N53" i="72"/>
  <c r="Z53" i="72"/>
  <c r="P53" i="72"/>
  <c r="X53" i="72"/>
  <c r="AA52" i="72" a="1"/>
  <c r="Y53" i="72" a="1"/>
  <c r="Y53" i="72" l="1"/>
  <c r="AA52" i="72"/>
  <c r="O53" i="72"/>
  <c r="Q53" i="72"/>
  <c r="AA53" i="72" a="1"/>
  <c r="AA53" i="7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<sst xmlns="http://schemas.openxmlformats.org/spreadsheetml/2006/main" count="357" uniqueCount="173">
  <si>
    <t>SQRTDR</t>
  </si>
  <si>
    <t>VELA</t>
  </si>
  <si>
    <t>KEAS</t>
  </si>
  <si>
    <t>X</t>
  </si>
  <si>
    <t>X.Y</t>
  </si>
  <si>
    <t>X.YY</t>
  </si>
  <si>
    <t>X.YYYY</t>
  </si>
  <si>
    <t>Atmospheric Table</t>
  </si>
  <si>
    <t>h</t>
  </si>
  <si>
    <t>TEMPF</t>
  </si>
  <si>
    <t>TEMPR</t>
  </si>
  <si>
    <t>TEMPC</t>
  </si>
  <si>
    <t>TR</t>
  </si>
  <si>
    <t>PR</t>
  </si>
  <si>
    <t>PRES</t>
  </si>
  <si>
    <t>RHO</t>
  </si>
  <si>
    <t>DR</t>
  </si>
  <si>
    <t>QMS</t>
  </si>
  <si>
    <t>SPW</t>
  </si>
  <si>
    <t>ASPEED</t>
  </si>
  <si>
    <t>VRKIN</t>
  </si>
  <si>
    <t>Temperature (degrees Fahrenheit)</t>
  </si>
  <si>
    <t>Density Ratio</t>
  </si>
  <si>
    <t>Temperature (degrees Rankine)</t>
  </si>
  <si>
    <t>Square root of the Density Ratio</t>
  </si>
  <si>
    <t>Temperature (degrees Celsius)</t>
  </si>
  <si>
    <t>Temperature Ratio</t>
  </si>
  <si>
    <t>Specific Weight (lbs/cu ft)</t>
  </si>
  <si>
    <t>Pressure Ratio</t>
  </si>
  <si>
    <t>Speed of Sound (ft/sec)</t>
  </si>
  <si>
    <t>Pressure (lbs/sq ft)</t>
  </si>
  <si>
    <t>Speed of Sound (knots)</t>
  </si>
  <si>
    <t>Density (slugs/cu ft)</t>
  </si>
  <si>
    <t>Kinematic Viscosity (sq ft/sec)</t>
  </si>
  <si>
    <t>X.YYYYYYYY</t>
  </si>
  <si>
    <t>Dynamic Pressure / Mach squared (lbs/sq ft)</t>
  </si>
  <si>
    <t>P_SL (lbs/ft^2)</t>
  </si>
  <si>
    <t>ρ_SL (slugs/ft^3)</t>
  </si>
  <si>
    <t>a_SL (ft/s)</t>
  </si>
  <si>
    <t>g (ft/sec^2)</t>
  </si>
  <si>
    <t>T_SL ®</t>
  </si>
  <si>
    <t>Aircraft Parameters</t>
  </si>
  <si>
    <t>Name</t>
  </si>
  <si>
    <t>Wing Span</t>
  </si>
  <si>
    <t>Max Load Factor</t>
  </si>
  <si>
    <t>Min Load Factor</t>
  </si>
  <si>
    <t>Max Speed</t>
  </si>
  <si>
    <t>Max Mach Num</t>
  </si>
  <si>
    <t>Max Altitude</t>
  </si>
  <si>
    <t>BD-5J</t>
  </si>
  <si>
    <t>Fuel Capacity</t>
  </si>
  <si>
    <t>Gross Takeoff W</t>
  </si>
  <si>
    <t>Perf Calc Weight</t>
  </si>
  <si>
    <t>CL max</t>
  </si>
  <si>
    <t>no flaps</t>
  </si>
  <si>
    <t>landing flaps</t>
  </si>
  <si>
    <t>takeoff flaps</t>
  </si>
  <si>
    <t xml:space="preserve">Wing Area </t>
  </si>
  <si>
    <t>ft^2</t>
  </si>
  <si>
    <t>ft</t>
  </si>
  <si>
    <t>g's</t>
  </si>
  <si>
    <t>mph</t>
  </si>
  <si>
    <t>M</t>
  </si>
  <si>
    <t>lbs</t>
  </si>
  <si>
    <t>Drag Polar</t>
  </si>
  <si>
    <t>Cd = 0.0200 + 0.062CL^2</t>
  </si>
  <si>
    <t>Max Thrust SL</t>
  </si>
  <si>
    <t>Fuel Consuption SL</t>
  </si>
  <si>
    <t>lb/(lb-hr)</t>
  </si>
  <si>
    <t>Equations</t>
  </si>
  <si>
    <t>Ta = T_SL(rho/rho_SL)</t>
  </si>
  <si>
    <t>FFR = T*c_SL(a/a_SL)</t>
  </si>
  <si>
    <t>Altitude</t>
  </si>
  <si>
    <t>rho</t>
  </si>
  <si>
    <t>a</t>
  </si>
  <si>
    <t>CL_max</t>
  </si>
  <si>
    <t>V_stall</t>
  </si>
  <si>
    <t>Mach</t>
  </si>
  <si>
    <t>max q</t>
  </si>
  <si>
    <t>max mach</t>
  </si>
  <si>
    <t>(max q)</t>
  </si>
  <si>
    <t>Max Mach</t>
  </si>
  <si>
    <t>Limit Mach</t>
  </si>
  <si>
    <t>(ft)</t>
  </si>
  <si>
    <t>(ft/s)</t>
  </si>
  <si>
    <t>(lb/ft^2)</t>
  </si>
  <si>
    <t>(V_stall)</t>
  </si>
  <si>
    <t>Load Factor</t>
  </si>
  <si>
    <t>Altitude:</t>
  </si>
  <si>
    <t>Velocity</t>
  </si>
  <si>
    <t>Climb Load F</t>
  </si>
  <si>
    <t>Descend Load F</t>
  </si>
  <si>
    <t>Descend Limit n</t>
  </si>
  <si>
    <t>Climb Limit n</t>
  </si>
  <si>
    <t>Mach Number</t>
  </si>
  <si>
    <t>Homework 7</t>
  </si>
  <si>
    <t>Homework #8</t>
  </si>
  <si>
    <t>Thrust Required; Range &amp; Endurance</t>
  </si>
  <si>
    <t>Part f</t>
  </si>
  <si>
    <t>Units</t>
  </si>
  <si>
    <t>Format</t>
  </si>
  <si>
    <t>Sea Level</t>
  </si>
  <si>
    <t>10,000 ft</t>
  </si>
  <si>
    <t>Minimum value of Thrust Required (Drag)</t>
  </si>
  <si>
    <t xml:space="preserve"> lb</t>
  </si>
  <si>
    <t xml:space="preserve">     Velocity</t>
  </si>
  <si>
    <t xml:space="preserve"> ft/sec</t>
  </si>
  <si>
    <t xml:space="preserve">     Mach Number</t>
  </si>
  <si>
    <t>---</t>
  </si>
  <si>
    <r>
      <t>Maximum value of C</t>
    </r>
    <r>
      <rPr>
        <b/>
        <vertAlign val="subscript"/>
        <sz val="12"/>
        <color theme="1"/>
        <rFont val="Calibri"/>
        <family val="2"/>
        <scheme val="minor"/>
      </rPr>
      <t>L</t>
    </r>
    <r>
      <rPr>
        <b/>
        <sz val="12"/>
        <color theme="1"/>
        <rFont val="Calibri"/>
        <family val="2"/>
        <scheme val="minor"/>
      </rPr>
      <t>/C</t>
    </r>
    <r>
      <rPr>
        <b/>
        <vertAlign val="subscript"/>
        <sz val="12"/>
        <color theme="1"/>
        <rFont val="Calibri"/>
        <family val="2"/>
        <scheme val="minor"/>
      </rPr>
      <t>D</t>
    </r>
  </si>
  <si>
    <t>Endurance Factor</t>
  </si>
  <si>
    <t>hr</t>
  </si>
  <si>
    <r>
      <t>Maximum value of C</t>
    </r>
    <r>
      <rPr>
        <b/>
        <vertAlign val="subscript"/>
        <sz val="12"/>
        <color theme="1"/>
        <rFont val="Calibri"/>
        <family val="2"/>
        <scheme val="minor"/>
      </rPr>
      <t>L</t>
    </r>
    <r>
      <rPr>
        <b/>
        <vertAlign val="superscript"/>
        <sz val="12"/>
        <color theme="1"/>
        <rFont val="Calibri"/>
        <family val="2"/>
        <scheme val="minor"/>
      </rPr>
      <t>1/2</t>
    </r>
    <r>
      <rPr>
        <b/>
        <sz val="12"/>
        <color theme="1"/>
        <rFont val="Calibri"/>
        <family val="2"/>
        <scheme val="minor"/>
      </rPr>
      <t>/C</t>
    </r>
    <r>
      <rPr>
        <b/>
        <vertAlign val="subscript"/>
        <sz val="12"/>
        <color theme="1"/>
        <rFont val="Calibri"/>
        <family val="2"/>
        <scheme val="minor"/>
      </rPr>
      <t>D</t>
    </r>
  </si>
  <si>
    <t>Range Factor</t>
  </si>
  <si>
    <t>NM</t>
  </si>
  <si>
    <t>Part g</t>
  </si>
  <si>
    <t>Range Distance for 100 lb of fuel burned</t>
  </si>
  <si>
    <t>Endurance Time for 100 lb of fuel burned</t>
  </si>
  <si>
    <t>min</t>
  </si>
  <si>
    <t>Cd0</t>
  </si>
  <si>
    <t>K</t>
  </si>
  <si>
    <t>T_SL_max</t>
  </si>
  <si>
    <t>FFC_SL</t>
  </si>
  <si>
    <t>Vel</t>
  </si>
  <si>
    <t>CL</t>
  </si>
  <si>
    <t>Cd</t>
  </si>
  <si>
    <t>D</t>
  </si>
  <si>
    <t>CL/CD</t>
  </si>
  <si>
    <t>End Fac</t>
  </si>
  <si>
    <t>sqrt(CL)/CD</t>
  </si>
  <si>
    <t>Ran Fac</t>
  </si>
  <si>
    <t>E</t>
  </si>
  <si>
    <t>R</t>
  </si>
  <si>
    <t>Homework #9</t>
  </si>
  <si>
    <t>Specific Energy &amp; Specific Excess Power</t>
  </si>
  <si>
    <t>Problem 1a: 150 KTAS / Sea Level</t>
  </si>
  <si>
    <t>Value</t>
  </si>
  <si>
    <r>
      <t>Specific Energy (E</t>
    </r>
    <r>
      <rPr>
        <vertAlign val="subscript"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)</t>
    </r>
  </si>
  <si>
    <r>
      <t>Specific Excess Power (P</t>
    </r>
    <r>
      <rPr>
        <vertAlign val="subscript"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)</t>
    </r>
  </si>
  <si>
    <t>ft/sec</t>
  </si>
  <si>
    <t>Maximum altitude attainable at that energy level</t>
  </si>
  <si>
    <t>Maximum attainable speed at that energy level</t>
  </si>
  <si>
    <t xml:space="preserve">          Mach Number</t>
  </si>
  <si>
    <t>Problem 1b: 175 KTAS / 10,000 ft</t>
  </si>
  <si>
    <t>Gravitational Constant</t>
  </si>
  <si>
    <t>g</t>
  </si>
  <si>
    <t>ft/s^2</t>
  </si>
  <si>
    <t>Flight Speed 1</t>
  </si>
  <si>
    <t>KTAS</t>
  </si>
  <si>
    <t>NM/hr</t>
  </si>
  <si>
    <t>Flight Speed 2</t>
  </si>
  <si>
    <t>V1</t>
  </si>
  <si>
    <t>ft/s</t>
  </si>
  <si>
    <t>V2</t>
  </si>
  <si>
    <t>Drag:</t>
  </si>
  <si>
    <t>Homework #10</t>
  </si>
  <si>
    <t>Minimum and Maximum Velocities</t>
  </si>
  <si>
    <t>Part a - Minimum Speeds</t>
  </si>
  <si>
    <t>Minimum Velocity where Thrust = Drag</t>
  </si>
  <si>
    <t>Minimum Velocity due to aerodynamic stall</t>
  </si>
  <si>
    <t>Part b - Maximum Speeds</t>
  </si>
  <si>
    <t>Maximum Velocity where Thrust = Drag</t>
  </si>
  <si>
    <t>Maximum Velocity due to aircraft limitations</t>
  </si>
  <si>
    <t>CD0</t>
  </si>
  <si>
    <t>Aircraft Max Velocity</t>
  </si>
  <si>
    <t>Aircraft Max Velocity (SL)</t>
  </si>
  <si>
    <t>Aircraft Max Velocity (10k ft)</t>
  </si>
  <si>
    <t>&lt; Using Aircraft Limitations</t>
  </si>
  <si>
    <t>Maximum Velocity due to max q</t>
  </si>
  <si>
    <t>&lt; Using max q</t>
  </si>
  <si>
    <t>Thrust available</t>
  </si>
  <si>
    <t>Part c) Response:</t>
  </si>
  <si>
    <t>For both graphs, the minimum V where T=D seemed to match between the explicit solution as well as the graphical interpretation. For example, at SL, the explicit solution came out to be M=0.0675 and on the graph, the Thrust Required Curve meets the Thrust Available Curve at a little less than 0.075 (halfway between the grid lines). Additionally, at SL the maximum V for T=D was M=0.419 and on the graph, the lines intersect at a little under 0.425. Both of these results verifies that our explicit solutions and graphical solutions agree.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</si>
</sst>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0.0000"/>
    <numFmt numFmtId="165" formatCode="0.00000"/>
    <numFmt numFmtId="166" formatCode="0.0"/>
    <numFmt numFmtId="167" formatCode="0.00000000"/>
    <numFmt numFmtId="168" formatCode="_(* #,##0_);_(* \(#,##0\);_(* &quot;-&quot;??_);_(@_)"/>
    <numFmt numFmtId="169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2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101">
    <xf numFmtId="0" fontId="0" fillId="0" borderId="0" xfId="0"/>
    <xf numFmtId="164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/>
    <xf numFmtId="165" fontId="2" fillId="0" borderId="0" xfId="0" applyNumberFormat="1" applyFont="1"/>
    <xf numFmtId="165" fontId="4" fillId="0" borderId="0" xfId="0" applyNumberFormat="1" applyFont="1"/>
    <xf numFmtId="0" fontId="1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166" fontId="6" fillId="0" borderId="0" xfId="0" applyNumberFormat="1" applyFont="1"/>
    <xf numFmtId="166" fontId="7" fillId="0" borderId="0" xfId="0" applyNumberFormat="1" applyFont="1"/>
    <xf numFmtId="164" fontId="7" fillId="0" borderId="0" xfId="0" applyNumberFormat="1" applyFont="1"/>
    <xf numFmtId="2" fontId="7" fillId="0" borderId="0" xfId="0" applyNumberFormat="1" applyFont="1"/>
    <xf numFmtId="167" fontId="6" fillId="0" borderId="0" xfId="0" applyNumberFormat="1" applyFont="1"/>
    <xf numFmtId="0" fontId="0" fillId="2" borderId="0" xfId="0" applyFill="1"/>
    <xf numFmtId="0" fontId="6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0" fillId="0" borderId="1" xfId="0" applyBorder="1"/>
    <xf numFmtId="166" fontId="0" fillId="0" borderId="0" xfId="0" applyNumberFormat="1"/>
    <xf numFmtId="167" fontId="0" fillId="0" borderId="0" xfId="0" applyNumberFormat="1"/>
    <xf numFmtId="0" fontId="0" fillId="2" borderId="1" xfId="0" applyFill="1" applyBorder="1" applyAlignment="1">
      <alignment horizontal="center"/>
    </xf>
    <xf numFmtId="168" fontId="0" fillId="2" borderId="1" xfId="1" applyNumberFormat="1" applyFont="1" applyFill="1" applyBorder="1"/>
    <xf numFmtId="168" fontId="0" fillId="2" borderId="2" xfId="1" applyNumberFormat="1" applyFont="1" applyFill="1" applyBorder="1"/>
    <xf numFmtId="166" fontId="0" fillId="0" borderId="2" xfId="0" applyNumberFormat="1" applyBorder="1"/>
    <xf numFmtId="164" fontId="0" fillId="0" borderId="2" xfId="0" applyNumberFormat="1" applyBorder="1"/>
    <xf numFmtId="2" fontId="0" fillId="0" borderId="2" xfId="0" applyNumberFormat="1" applyBorder="1"/>
    <xf numFmtId="167" fontId="0" fillId="0" borderId="2" xfId="0" applyNumberFormat="1" applyBorder="1"/>
    <xf numFmtId="0" fontId="0" fillId="0" borderId="2" xfId="0" applyBorder="1"/>
    <xf numFmtId="0" fontId="0" fillId="4" borderId="1" xfId="0" applyFill="1" applyBorder="1" applyAlignment="1">
      <alignment horizontal="left"/>
    </xf>
    <xf numFmtId="0" fontId="0" fillId="4" borderId="0" xfId="0" applyFill="1" applyAlignment="1">
      <alignment horizontal="left"/>
    </xf>
    <xf numFmtId="0" fontId="0" fillId="4" borderId="0" xfId="0" applyFill="1"/>
    <xf numFmtId="0" fontId="0" fillId="4" borderId="8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2" xfId="0" applyFill="1" applyBorder="1"/>
    <xf numFmtId="0" fontId="0" fillId="4" borderId="7" xfId="0" applyFill="1" applyBorder="1"/>
    <xf numFmtId="0" fontId="0" fillId="4" borderId="3" xfId="0" applyFill="1" applyBorder="1"/>
    <xf numFmtId="0" fontId="0" fillId="4" borderId="1" xfId="0" applyFill="1" applyBorder="1"/>
    <xf numFmtId="0" fontId="0" fillId="4" borderId="6" xfId="0" applyFill="1" applyBorder="1"/>
    <xf numFmtId="0" fontId="0" fillId="4" borderId="9" xfId="0" applyFill="1" applyBorder="1"/>
    <xf numFmtId="0" fontId="0" fillId="4" borderId="11" xfId="0" applyFill="1" applyBorder="1"/>
    <xf numFmtId="0" fontId="0" fillId="4" borderId="10" xfId="0" applyFill="1" applyBorder="1"/>
    <xf numFmtId="0" fontId="0" fillId="4" borderId="2" xfId="0" applyFill="1" applyBorder="1" applyAlignment="1">
      <alignment horizontal="left" indent="1"/>
    </xf>
    <xf numFmtId="0" fontId="0" fillId="4" borderId="6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0" borderId="0" xfId="0" applyAlignment="1">
      <alignment horizontal="left"/>
    </xf>
    <xf numFmtId="169" fontId="0" fillId="0" borderId="0" xfId="0" applyNumberFormat="1"/>
    <xf numFmtId="0" fontId="0" fillId="2" borderId="0" xfId="0" applyFill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6" fillId="3" borderId="12" xfId="0" applyFont="1" applyFill="1" applyBorder="1" applyAlignment="1">
      <alignment horizontal="center" vertical="center"/>
    </xf>
    <xf numFmtId="0" fontId="6" fillId="0" borderId="12" xfId="0" applyFont="1" applyBorder="1" applyAlignment="1">
      <alignment vertical="center"/>
    </xf>
    <xf numFmtId="0" fontId="7" fillId="0" borderId="12" xfId="0" applyFont="1" applyBorder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7" fillId="0" borderId="12" xfId="0" applyFont="1" applyBorder="1" applyAlignment="1">
      <alignment vertical="center"/>
    </xf>
    <xf numFmtId="0" fontId="7" fillId="0" borderId="12" xfId="0" quotePrefix="1" applyFont="1" applyBorder="1" applyAlignment="1">
      <alignment horizontal="center" vertical="center"/>
    </xf>
    <xf numFmtId="2" fontId="7" fillId="6" borderId="12" xfId="0" applyNumberFormat="1" applyFont="1" applyFill="1" applyBorder="1" applyAlignment="1">
      <alignment horizontal="center" vertical="center"/>
    </xf>
    <xf numFmtId="166" fontId="7" fillId="6" borderId="12" xfId="0" applyNumberFormat="1" applyFont="1" applyFill="1" applyBorder="1" applyAlignment="1">
      <alignment horizontal="center" vertical="center"/>
    </xf>
    <xf numFmtId="164" fontId="7" fillId="6" borderId="12" xfId="0" applyNumberFormat="1" applyFont="1" applyFill="1" applyBorder="1" applyAlignment="1">
      <alignment horizontal="center" vertical="center"/>
    </xf>
    <xf numFmtId="0" fontId="0" fillId="2" borderId="3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1" xfId="0" applyFill="1" applyBorder="1"/>
    <xf numFmtId="0" fontId="0" fillId="2" borderId="5" xfId="0" applyFill="1" applyBorder="1"/>
    <xf numFmtId="2" fontId="0" fillId="0" borderId="1" xfId="0" applyNumberFormat="1" applyBorder="1"/>
    <xf numFmtId="0" fontId="0" fillId="0" borderId="5" xfId="0" applyBorder="1"/>
    <xf numFmtId="2" fontId="0" fillId="0" borderId="6" xfId="0" applyNumberFormat="1" applyBorder="1"/>
    <xf numFmtId="0" fontId="1" fillId="7" borderId="0" xfId="0" applyFont="1" applyFill="1" applyAlignment="1">
      <alignment horizontal="center"/>
    </xf>
    <xf numFmtId="0" fontId="6" fillId="8" borderId="12" xfId="0" applyFont="1" applyFill="1" applyBorder="1" applyAlignment="1">
      <alignment vertical="center" wrapText="1"/>
    </xf>
    <xf numFmtId="0" fontId="11" fillId="9" borderId="12" xfId="0" applyFont="1" applyFill="1" applyBorder="1" applyAlignment="1">
      <alignment horizontal="center" vertical="center" wrapText="1"/>
    </xf>
    <xf numFmtId="0" fontId="7" fillId="0" borderId="12" xfId="0" applyFont="1" applyBorder="1" applyAlignment="1">
      <alignment vertical="center" wrapText="1"/>
    </xf>
    <xf numFmtId="0" fontId="7" fillId="0" borderId="12" xfId="0" applyFont="1" applyBorder="1" applyAlignment="1">
      <alignment horizontal="center" vertical="center" wrapText="1"/>
    </xf>
    <xf numFmtId="166" fontId="7" fillId="0" borderId="12" xfId="0" applyNumberFormat="1" applyFont="1" applyBorder="1" applyAlignment="1">
      <alignment horizontal="center" vertical="center" wrapText="1"/>
    </xf>
    <xf numFmtId="166" fontId="6" fillId="6" borderId="12" xfId="0" applyNumberFormat="1" applyFont="1" applyFill="1" applyBorder="1" applyAlignment="1">
      <alignment horizontal="center" vertical="center" wrapText="1"/>
    </xf>
    <xf numFmtId="164" fontId="6" fillId="6" borderId="12" xfId="0" applyNumberFormat="1" applyFont="1" applyFill="1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11" fillId="8" borderId="1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right"/>
    </xf>
    <xf numFmtId="0" fontId="1" fillId="10" borderId="0" xfId="0" applyFont="1" applyFill="1" applyAlignment="1">
      <alignment horizontal="center"/>
    </xf>
    <xf numFmtId="0" fontId="14" fillId="0" borderId="0" xfId="0" applyFont="1" applyAlignment="1">
      <alignment horizontal="left"/>
    </xf>
    <xf numFmtId="3" fontId="6" fillId="3" borderId="13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0" fillId="0" borderId="0" xfId="0" applyAlignment="1">
      <alignment wrapText="1"/>
    </xf>
    <xf numFmtId="0" fontId="5" fillId="3" borderId="2" xfId="0" applyFont="1" applyFill="1" applyBorder="1" applyAlignment="1">
      <alignment horizontal="center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4" borderId="5" xfId="0" applyFill="1" applyBorder="1" applyAlignment="1">
      <alignment horizontal="left"/>
    </xf>
    <xf numFmtId="0" fontId="1" fillId="4" borderId="9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0" fillId="4" borderId="9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0" fillId="0" borderId="0" xfId="0" applyAlignment="1">
      <alignment horizontal="center" wrapText="1"/>
    </xf>
    <xf numFmtId="0" fontId="6" fillId="2" borderId="0" xfId="0" applyFont="1" applyFill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Mach Number vs Thrust </a:t>
            </a:r>
          </a:p>
          <a:p>
            <a:pPr>
              <a:defRPr/>
            </a:pPr>
            <a:r>
              <a:rPr lang="en-US"/>
              <a:t>Sea</a:t>
            </a:r>
            <a:r>
              <a:rPr lang="en-US" baseline="0"/>
              <a:t> Level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Thrust Required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'HW#8 Calculations'!$J$5:$J$53</c:f>
              <c:numCache>
                <c:formatCode>General</c:formatCode>
                <c:ptCount val="49"/>
                <c:pt idx="0">
                  <c:v>4.6415288851751356E-2</c:v>
                </c:pt>
                <c:pt idx="1">
                  <c:v>5.5372250650309283E-2</c:v>
                </c:pt>
                <c:pt idx="2">
                  <c:v>6.4329212448867218E-2</c:v>
                </c:pt>
                <c:pt idx="3">
                  <c:v>7.3286174247425145E-2</c:v>
                </c:pt>
                <c:pt idx="4">
                  <c:v>8.2243136045983073E-2</c:v>
                </c:pt>
                <c:pt idx="5">
                  <c:v>9.1200097844541E-2</c:v>
                </c:pt>
                <c:pt idx="6">
                  <c:v>0.10015705964309893</c:v>
                </c:pt>
                <c:pt idx="7">
                  <c:v>0.10911402144165686</c:v>
                </c:pt>
                <c:pt idx="8">
                  <c:v>0.11807098324021478</c:v>
                </c:pt>
                <c:pt idx="9">
                  <c:v>0.12702794503877271</c:v>
                </c:pt>
                <c:pt idx="10">
                  <c:v>0.13598490683733064</c:v>
                </c:pt>
                <c:pt idx="11">
                  <c:v>0.14494186863588857</c:v>
                </c:pt>
                <c:pt idx="12">
                  <c:v>0.15389883043444649</c:v>
                </c:pt>
                <c:pt idx="13">
                  <c:v>0.16285579223300442</c:v>
                </c:pt>
                <c:pt idx="14">
                  <c:v>0.17181275403156235</c:v>
                </c:pt>
                <c:pt idx="15">
                  <c:v>0.18076971583012028</c:v>
                </c:pt>
                <c:pt idx="16">
                  <c:v>0.1897266776286782</c:v>
                </c:pt>
                <c:pt idx="17">
                  <c:v>0.19868363942723613</c:v>
                </c:pt>
                <c:pt idx="18">
                  <c:v>0.20764060122579409</c:v>
                </c:pt>
                <c:pt idx="19">
                  <c:v>0.21659756302435201</c:v>
                </c:pt>
                <c:pt idx="20">
                  <c:v>0.22555452482290994</c:v>
                </c:pt>
                <c:pt idx="21">
                  <c:v>0.23451148662146787</c:v>
                </c:pt>
                <c:pt idx="22">
                  <c:v>0.2434684484200258</c:v>
                </c:pt>
                <c:pt idx="23">
                  <c:v>0.25242541021858372</c:v>
                </c:pt>
                <c:pt idx="24">
                  <c:v>0.26138237201714165</c:v>
                </c:pt>
                <c:pt idx="25">
                  <c:v>0.27033933381569958</c:v>
                </c:pt>
                <c:pt idx="26">
                  <c:v>0.27929629561425751</c:v>
                </c:pt>
                <c:pt idx="27">
                  <c:v>0.28825325741281543</c:v>
                </c:pt>
                <c:pt idx="28">
                  <c:v>0.29721021921137336</c:v>
                </c:pt>
                <c:pt idx="29">
                  <c:v>0.30616718100993129</c:v>
                </c:pt>
                <c:pt idx="30">
                  <c:v>0.31512414280848922</c:v>
                </c:pt>
                <c:pt idx="31">
                  <c:v>0.32408110460704714</c:v>
                </c:pt>
                <c:pt idx="32">
                  <c:v>0.33303806640560507</c:v>
                </c:pt>
                <c:pt idx="33">
                  <c:v>0.341995028204163</c:v>
                </c:pt>
                <c:pt idx="34">
                  <c:v>0.35095199000272093</c:v>
                </c:pt>
                <c:pt idx="35">
                  <c:v>0.35990895180127885</c:v>
                </c:pt>
                <c:pt idx="36">
                  <c:v>0.36886591359983678</c:v>
                </c:pt>
                <c:pt idx="37">
                  <c:v>0.37782287539839471</c:v>
                </c:pt>
                <c:pt idx="38">
                  <c:v>0.38677983719695264</c:v>
                </c:pt>
                <c:pt idx="39">
                  <c:v>0.39573679899551056</c:v>
                </c:pt>
                <c:pt idx="40">
                  <c:v>0.40469376079406849</c:v>
                </c:pt>
                <c:pt idx="41">
                  <c:v>0.41365072259262642</c:v>
                </c:pt>
                <c:pt idx="42">
                  <c:v>0.42260768439118435</c:v>
                </c:pt>
                <c:pt idx="43">
                  <c:v>0.43156464618974227</c:v>
                </c:pt>
                <c:pt idx="44">
                  <c:v>0.4405216079883002</c:v>
                </c:pt>
                <c:pt idx="45">
                  <c:v>0.44947856978685813</c:v>
                </c:pt>
                <c:pt idx="46">
                  <c:v>0.45843553158541606</c:v>
                </c:pt>
                <c:pt idx="47">
                  <c:v>0.46739249338397398</c:v>
                </c:pt>
                <c:pt idx="48">
                  <c:v>0.47634945518253191</c:v>
                </c:pt>
              </c:numCache>
            </c:numRef>
          </c:xVal>
          <c:yVal>
            <c:numRef>
              <c:f>'HW#8 Calculations'!$M$5:$M$53</c:f>
              <c:numCache>
                <c:formatCode>General</c:formatCode>
                <c:ptCount val="49"/>
                <c:pt idx="0">
                  <c:v>418.71322245458731</c:v>
                </c:pt>
                <c:pt idx="1">
                  <c:v>295.94640569791108</c:v>
                </c:pt>
                <c:pt idx="2">
                  <c:v>221.3612080319273</c:v>
                </c:pt>
                <c:pt idx="3">
                  <c:v>173.00270221380524</c:v>
                </c:pt>
                <c:pt idx="4">
                  <c:v>140.17070039148538</c:v>
                </c:pt>
                <c:pt idx="5">
                  <c:v>117.1444074614855</c:v>
                </c:pt>
                <c:pt idx="6">
                  <c:v>100.64001830503184</c:v>
                </c:pt>
                <c:pt idx="7">
                  <c:v>88.663333333333341</c:v>
                </c:pt>
                <c:pt idx="8">
                  <c:v>79.946517714812174</c:v>
                </c:pt>
                <c:pt idx="9">
                  <c:v>73.652285464570113</c:v>
                </c:pt>
                <c:pt idx="10">
                  <c:v>69.209658270599363</c:v>
                </c:pt>
                <c:pt idx="11">
                  <c:v>66.21843005748822</c:v>
                </c:pt>
                <c:pt idx="12">
                  <c:v>64.391350498593951</c:v>
                </c:pt>
                <c:pt idx="13">
                  <c:v>63.517920400076058</c:v>
                </c:pt>
                <c:pt idx="14">
                  <c:v>63.441036201320259</c:v>
                </c:pt>
                <c:pt idx="15">
                  <c:v>64.041524375796172</c:v>
                </c:pt>
                <c:pt idx="16">
                  <c:v>65.227660361430267</c:v>
                </c:pt>
                <c:pt idx="17">
                  <c:v>66.927917109212927</c:v>
                </c:pt>
                <c:pt idx="18">
                  <c:v>69.085854027633644</c:v>
                </c:pt>
                <c:pt idx="19">
                  <c:v>71.656453600197381</c:v>
                </c:pt>
                <c:pt idx="20">
                  <c:v>74.603455335062009</c:v>
                </c:pt>
                <c:pt idx="21">
                  <c:v>77.897388392521719</c:v>
                </c:pt>
                <c:pt idx="22">
                  <c:v>81.514101207570249</c:v>
                </c:pt>
                <c:pt idx="23">
                  <c:v>85.433649633236257</c:v>
                </c:pt>
                <c:pt idx="24">
                  <c:v>89.63944707054938</c:v>
                </c:pt>
                <c:pt idx="25">
                  <c:v>94.117608337909672</c:v>
                </c:pt>
                <c:pt idx="26">
                  <c:v>98.85643840093131</c:v>
                </c:pt>
                <c:pt idx="27">
                  <c:v>103.84603053189488</c:v>
                </c:pt>
                <c:pt idx="28">
                  <c:v>109.07794792717078</c:v>
                </c:pt>
                <c:pt idx="29">
                  <c:v>114.54496954523258</c:v>
                </c:pt>
                <c:pt idx="30">
                  <c:v>120.24088577643082</c:v>
                </c:pt>
                <c:pt idx="31">
                  <c:v>126.16033308351825</c:v>
                </c:pt>
                <c:pt idx="32">
                  <c:v>132.29865934423216</c:v>
                </c:pt>
                <c:pt idx="33">
                  <c:v>138.65181354986711</c:v>
                </c:pt>
                <c:pt idx="34">
                  <c:v>145.21625495221602</c:v>
                </c:pt>
                <c:pt idx="35">
                  <c:v>151.98887783634271</c:v>
                </c:pt>
                <c:pt idx="36">
                  <c:v>158.9669489215685</c:v>
                </c:pt>
                <c:pt idx="37">
                  <c:v>166.14805502481227</c:v>
                </c:pt>
                <c:pt idx="38">
                  <c:v>173.53005910763514</c:v>
                </c:pt>
                <c:pt idx="39">
                  <c:v>181.11106320656711</c:v>
                </c:pt>
                <c:pt idx="40">
                  <c:v>188.88937704176737</c:v>
                </c:pt>
                <c:pt idx="41">
                  <c:v>196.86349133127618</c:v>
                </c:pt>
                <c:pt idx="42">
                  <c:v>205.03205502164917</c:v>
                </c:pt>
                <c:pt idx="43">
                  <c:v>213.39385579160913</c:v>
                </c:pt>
                <c:pt idx="44">
                  <c:v>221.94780330185733</c:v>
                </c:pt>
                <c:pt idx="45">
                  <c:v>230.69291475770697</c:v>
                </c:pt>
                <c:pt idx="46">
                  <c:v>239.62830242664253</c:v>
                </c:pt>
                <c:pt idx="47">
                  <c:v>248.75316281402561</c:v>
                </c:pt>
                <c:pt idx="48">
                  <c:v>258.06676724991172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11-4D46-B93B-52E288558F40}"/>
            </c:ext>
          </c:extLst>
        </c:ser>
        <c:ser>
          <c:idx val="1"/>
          <c:order val="1"/>
          <c:tx>
            <c:v>Thrust Available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('HW#10 Calculations'!$I$7,'HW#10 Calculations'!$I$8)</c:f>
              <c:numCache>
                <c:formatCode>General</c:formatCode>
                <c:ptCount val="2"/>
                <c:pt idx="0">
                  <c:v>0</c:v>
                </c:pt>
                <c:pt idx="1">
                  <c:v>0.6</c:v>
                </c:pt>
              </c:numCache>
            </c:numRef>
          </c:xVal>
          <c:yVal>
            <c:numRef>
              <c:f>('HW#10 Calculations'!$I$6,'HW#10 Calculations'!$I$6)</c:f>
              <c:numCache>
                <c:formatCode>General</c:formatCode>
                <c:ptCount val="2"/>
                <c:pt idx="0">
                  <c:v>202</c:v>
                </c:pt>
                <c:pt idx="1">
                  <c:v>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811-4D46-B93B-52E288558F40}"/>
            </c:ext>
          </c:extLst>
        </c:ser>
        <c:ser>
          <c:idx val="2"/>
          <c:order val="2"/>
          <c:tx>
            <c:v>M_min</c:v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('HW#10 Calculations'!$D$9,'HW#10 Calculations'!$D$9)</c:f>
              <c:numCache>
                <c:formatCode>0.0000</c:formatCode>
                <c:ptCount val="2"/>
                <c:pt idx="0">
                  <c:v>0.10911402144165686</c:v>
                </c:pt>
                <c:pt idx="1">
                  <c:v>0.10911402144165686</c:v>
                </c:pt>
              </c:numCache>
            </c:numRef>
          </c:xVal>
          <c:yVal>
            <c:numRef>
              <c:f>('HW#8 Calculations'!$L$20,'HW#8 Calculations'!$M$5)</c:f>
              <c:numCache>
                <c:formatCode>General</c:formatCode>
                <c:ptCount val="2"/>
                <c:pt idx="0">
                  <c:v>3.4999568784718132E-2</c:v>
                </c:pt>
                <c:pt idx="1">
                  <c:v>418.71322245458731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811-4D46-B93B-52E288558F40}"/>
            </c:ext>
          </c:extLst>
        </c:ser>
        <c:ser>
          <c:idx val="3"/>
          <c:order val="3"/>
          <c:tx>
            <c:v>M_max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38100" cap="rnd">
                <a:solidFill>
                  <a:schemeClr val="accent4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D811-4D46-B93B-52E288558F40}"/>
              </c:ext>
            </c:extLst>
          </c:dPt>
          <c:xVal>
            <c:numRef>
              <c:f>('HW#10 Calculations'!$D$14,'HW#10 Calculations'!$D$14)</c:f>
              <c:numCache>
                <c:formatCode>0.0000</c:formatCode>
                <c:ptCount val="2"/>
                <c:pt idx="0">
                  <c:v>0.39305915078049969</c:v>
                </c:pt>
                <c:pt idx="1">
                  <c:v>0.39305915078049969</c:v>
                </c:pt>
              </c:numCache>
            </c:numRef>
          </c:xVal>
          <c:yVal>
            <c:numRef>
              <c:f>('HW#8 Calculations'!$L$20,'HW#8 Calculations'!$M$5)</c:f>
              <c:numCache>
                <c:formatCode>General</c:formatCode>
                <c:ptCount val="2"/>
                <c:pt idx="0">
                  <c:v>3.4999568784718132E-2</c:v>
                </c:pt>
                <c:pt idx="1">
                  <c:v>418.71322245458731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811-4D46-B93B-52E288558F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900079"/>
        <c:axId val="1845900495"/>
      </c:scatterChart>
      <c:valAx>
        <c:axId val="1845900079"/>
        <c:scaling>
          <c:orientation val="minMax"/>
          <c:max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900495"/>
        <c:crosses val="autoZero"/>
        <c:crossBetween val="midCat"/>
      </c:valAx>
      <c:valAx>
        <c:axId val="1845900495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Thrust/Drag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9000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Mach Number vs Thrust </a:t>
            </a:r>
          </a:p>
          <a:p>
            <a:pPr>
              <a:defRPr/>
            </a:pPr>
            <a:r>
              <a:rPr lang="en-US"/>
              <a:t>10,000 ft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Thrust Required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'HW#8 Calculations'!$T$5:$T$53</c:f>
              <c:numCache>
                <c:formatCode>General</c:formatCode>
                <c:ptCount val="49"/>
                <c:pt idx="0">
                  <c:v>4.8041830300814659E-2</c:v>
                </c:pt>
                <c:pt idx="1">
                  <c:v>5.7323545221460562E-2</c:v>
                </c:pt>
                <c:pt idx="2">
                  <c:v>6.6605260142106465E-2</c:v>
                </c:pt>
                <c:pt idx="3">
                  <c:v>7.5886975062752368E-2</c:v>
                </c:pt>
                <c:pt idx="4">
                  <c:v>8.5168689983398257E-2</c:v>
                </c:pt>
                <c:pt idx="5">
                  <c:v>9.4450404904044161E-2</c:v>
                </c:pt>
                <c:pt idx="6">
                  <c:v>0.10373211982469006</c:v>
                </c:pt>
                <c:pt idx="7">
                  <c:v>0.11301383474533597</c:v>
                </c:pt>
                <c:pt idx="8">
                  <c:v>0.12229554966598186</c:v>
                </c:pt>
                <c:pt idx="9">
                  <c:v>0.13157726458662777</c:v>
                </c:pt>
                <c:pt idx="10">
                  <c:v>0.14085897950727366</c:v>
                </c:pt>
                <c:pt idx="11">
                  <c:v>0.15014069442791955</c:v>
                </c:pt>
                <c:pt idx="12">
                  <c:v>0.15942240934856547</c:v>
                </c:pt>
                <c:pt idx="13">
                  <c:v>0.16870412426921136</c:v>
                </c:pt>
                <c:pt idx="14">
                  <c:v>0.17798583918985728</c:v>
                </c:pt>
                <c:pt idx="15">
                  <c:v>0.18726755411050316</c:v>
                </c:pt>
                <c:pt idx="16">
                  <c:v>0.19654926903114905</c:v>
                </c:pt>
                <c:pt idx="17">
                  <c:v>0.20583098395179497</c:v>
                </c:pt>
                <c:pt idx="18">
                  <c:v>0.21511269887244086</c:v>
                </c:pt>
                <c:pt idx="19">
                  <c:v>0.22439441379308678</c:v>
                </c:pt>
                <c:pt idx="20">
                  <c:v>0.23367612871373267</c:v>
                </c:pt>
                <c:pt idx="21">
                  <c:v>0.24295784363437856</c:v>
                </c:pt>
                <c:pt idx="22">
                  <c:v>0.25223955855502445</c:v>
                </c:pt>
                <c:pt idx="23">
                  <c:v>0.26152127347567039</c:v>
                </c:pt>
                <c:pt idx="24">
                  <c:v>0.27080298839631628</c:v>
                </c:pt>
                <c:pt idx="25">
                  <c:v>0.28008470331696217</c:v>
                </c:pt>
                <c:pt idx="26">
                  <c:v>0.28936641823760806</c:v>
                </c:pt>
                <c:pt idx="27">
                  <c:v>0.29864813315825395</c:v>
                </c:pt>
                <c:pt idx="28">
                  <c:v>0.30792984807889989</c:v>
                </c:pt>
                <c:pt idx="29">
                  <c:v>0.31721156299954578</c:v>
                </c:pt>
                <c:pt idx="30">
                  <c:v>0.32649327792019167</c:v>
                </c:pt>
                <c:pt idx="31">
                  <c:v>0.33577499284083756</c:v>
                </c:pt>
                <c:pt idx="32">
                  <c:v>0.34505670776148345</c:v>
                </c:pt>
                <c:pt idx="33">
                  <c:v>0.35433842268212939</c:v>
                </c:pt>
                <c:pt idx="34">
                  <c:v>0.36362013760277528</c:v>
                </c:pt>
                <c:pt idx="35">
                  <c:v>0.37290185252342117</c:v>
                </c:pt>
                <c:pt idx="36">
                  <c:v>0.38218356744406706</c:v>
                </c:pt>
                <c:pt idx="37">
                  <c:v>0.39146528236471295</c:v>
                </c:pt>
                <c:pt idx="38">
                  <c:v>0.4007469972853589</c:v>
                </c:pt>
                <c:pt idx="39">
                  <c:v>0.41002871220600479</c:v>
                </c:pt>
                <c:pt idx="40">
                  <c:v>0.41931042712665068</c:v>
                </c:pt>
                <c:pt idx="41">
                  <c:v>0.42859214204729656</c:v>
                </c:pt>
                <c:pt idx="42">
                  <c:v>0.43787385696794245</c:v>
                </c:pt>
                <c:pt idx="43">
                  <c:v>0.4471555718885884</c:v>
                </c:pt>
                <c:pt idx="44">
                  <c:v>0.45643728680923429</c:v>
                </c:pt>
                <c:pt idx="45">
                  <c:v>0.46571900172988018</c:v>
                </c:pt>
                <c:pt idx="46">
                  <c:v>0.47500071665052607</c:v>
                </c:pt>
                <c:pt idx="47">
                  <c:v>0.48428243157117201</c:v>
                </c:pt>
                <c:pt idx="48">
                  <c:v>0.4935641464918179</c:v>
                </c:pt>
              </c:numCache>
            </c:numRef>
          </c:xVal>
          <c:yVal>
            <c:numRef>
              <c:f>'HW#8 Calculations'!$W$5:$W$53</c:f>
              <c:numCache>
                <c:formatCode>General</c:formatCode>
                <c:ptCount val="49"/>
                <c:pt idx="0">
                  <c:v>566.83234764779115</c:v>
                </c:pt>
                <c:pt idx="1">
                  <c:v>399.41471380557715</c:v>
                </c:pt>
                <c:pt idx="2">
                  <c:v>297.39310064861309</c:v>
                </c:pt>
                <c:pt idx="3">
                  <c:v>230.89710570996871</c:v>
                </c:pt>
                <c:pt idx="4">
                  <c:v>185.37820528861531</c:v>
                </c:pt>
                <c:pt idx="5">
                  <c:v>153.06190967567977</c:v>
                </c:pt>
                <c:pt idx="6">
                  <c:v>129.48727128761413</c:v>
                </c:pt>
                <c:pt idx="7">
                  <c:v>111.94606315542725</c:v>
                </c:pt>
                <c:pt idx="8">
                  <c:v>98.716934085052074</c:v>
                </c:pt>
                <c:pt idx="9">
                  <c:v>88.663333333333327</c:v>
                </c:pt>
                <c:pt idx="10">
                  <c:v>81.010341379576687</c:v>
                </c:pt>
                <c:pt idx="11">
                  <c:v>75.214891091154172</c:v>
                </c:pt>
                <c:pt idx="12">
                  <c:v>70.887245177134631</c:v>
                </c:pt>
                <c:pt idx="13">
                  <c:v>67.741834951648073</c:v>
                </c:pt>
                <c:pt idx="14">
                  <c:v>65.56555191046651</c:v>
                </c:pt>
                <c:pt idx="15">
                  <c:v>64.196754104752898</c:v>
                </c:pt>
                <c:pt idx="16">
                  <c:v>63.511040603265243</c:v>
                </c:pt>
                <c:pt idx="17">
                  <c:v>63.411410555985398</c:v>
                </c:pt>
                <c:pt idx="18">
                  <c:v>63.8213277288977</c:v>
                </c:pt>
                <c:pt idx="19">
                  <c:v>64.679749945837671</c:v>
                </c:pt>
                <c:pt idx="20">
                  <c:v>65.937512051652561</c:v>
                </c:pt>
                <c:pt idx="21">
                  <c:v>67.55465698843642</c:v>
                </c:pt>
                <c:pt idx="22">
                  <c:v>69.498441239361554</c:v>
                </c:pt>
                <c:pt idx="23">
                  <c:v>71.741826706038182</c:v>
                </c:pt>
                <c:pt idx="24">
                  <c:v>74.262328017154132</c:v>
                </c:pt>
                <c:pt idx="25">
                  <c:v>77.041122660654295</c:v>
                </c:pt>
                <c:pt idx="26">
                  <c:v>80.062357618462912</c:v>
                </c:pt>
                <c:pt idx="27">
                  <c:v>83.312604433035986</c:v>
                </c:pt>
                <c:pt idx="28">
                  <c:v>86.780427471116312</c:v>
                </c:pt>
                <c:pt idx="29">
                  <c:v>90.456039287743366</c:v>
                </c:pt>
                <c:pt idx="30">
                  <c:v>94.331023572110325</c:v>
                </c:pt>
                <c:pt idx="31">
                  <c:v>98.398110943130277</c:v>
                </c:pt>
                <c:pt idx="32">
                  <c:v>102.65099637941816</c:v>
                </c:pt>
                <c:pt idx="33">
                  <c:v>107.08418967657185</c:v>
                </c:pt>
                <c:pt idx="34">
                  <c:v>111.69289227588301</c:v>
                </c:pt>
                <c:pt idx="35">
                  <c:v>116.47289528045583</c:v>
                </c:pt>
                <c:pt idx="36">
                  <c:v>121.42049459360562</c:v>
                </c:pt>
                <c:pt idx="37">
                  <c:v>126.53241997127151</c:v>
                </c:pt>
                <c:pt idx="38">
                  <c:v>131.80577544095854</c:v>
                </c:pt>
                <c:pt idx="39">
                  <c:v>137.23798905267864</c:v>
                </c:pt>
                <c:pt idx="40">
                  <c:v>142.82677032806538</c:v>
                </c:pt>
                <c:pt idx="41">
                  <c:v>148.57007408873656</c:v>
                </c:pt>
                <c:pt idx="42">
                  <c:v>154.46606959385619</c:v>
                </c:pt>
                <c:pt idx="43">
                  <c:v>160.51311411461941</c:v>
                </c:pt>
                <c:pt idx="44">
                  <c:v>166.70973023135821</c:v>
                </c:pt>
                <c:pt idx="45">
                  <c:v>173.05458626578022</c:v>
                </c:pt>
                <c:pt idx="46">
                  <c:v>179.54647936313614</c:v>
                </c:pt>
                <c:pt idx="47">
                  <c:v>186.1843208219835</c:v>
                </c:pt>
                <c:pt idx="48">
                  <c:v>192.96712333665411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C6-4C4F-85A7-2F149284C45A}"/>
            </c:ext>
          </c:extLst>
        </c:ser>
        <c:ser>
          <c:idx val="1"/>
          <c:order val="1"/>
          <c:tx>
            <c:v>Thrust Available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('HW#10 Calculations'!$I$7,'HW#10 Calculations'!$I$8)</c:f>
              <c:numCache>
                <c:formatCode>General</c:formatCode>
                <c:ptCount val="2"/>
                <c:pt idx="0">
                  <c:v>0</c:v>
                </c:pt>
                <c:pt idx="1">
                  <c:v>0.6</c:v>
                </c:pt>
              </c:numCache>
            </c:numRef>
          </c:xVal>
          <c:yVal>
            <c:numRef>
              <c:f>('HW#10 Calculations'!$J$6,'HW#10 Calculations'!$J$6)</c:f>
              <c:numCache>
                <c:formatCode>General</c:formatCode>
                <c:ptCount val="2"/>
                <c:pt idx="0">
                  <c:v>149.17147831505383</c:v>
                </c:pt>
                <c:pt idx="1">
                  <c:v>149.17147831505383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C6-4C4F-85A7-2F149284C45A}"/>
            </c:ext>
          </c:extLst>
        </c:ser>
        <c:ser>
          <c:idx val="2"/>
          <c:order val="2"/>
          <c:tx>
            <c:v>M_min</c:v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('HW#10 Calculations'!$E$9,'HW#10 Calculations'!$E$9)</c:f>
              <c:numCache>
                <c:formatCode>0.0000</c:formatCode>
                <c:ptCount val="2"/>
                <c:pt idx="0">
                  <c:v>0.13157726458662777</c:v>
                </c:pt>
                <c:pt idx="1">
                  <c:v>0.13157726458662777</c:v>
                </c:pt>
              </c:numCache>
            </c:numRef>
          </c:xVal>
          <c:yVal>
            <c:numRef>
              <c:f>('HW#8 Calculations'!$L$20,'HW#8 Calculations'!$M$5)</c:f>
              <c:numCache>
                <c:formatCode>General</c:formatCode>
                <c:ptCount val="2"/>
                <c:pt idx="0">
                  <c:v>3.4999568784718132E-2</c:v>
                </c:pt>
                <c:pt idx="1">
                  <c:v>418.71322245458731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FC6-4C4F-85A7-2F149284C45A}"/>
            </c:ext>
          </c:extLst>
        </c:ser>
        <c:ser>
          <c:idx val="3"/>
          <c:order val="3"/>
          <c:tx>
            <c:v>M_max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38100" cap="rnd">
                <a:solidFill>
                  <a:schemeClr val="accent4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2FC6-4C4F-85A7-2F149284C45A}"/>
              </c:ext>
            </c:extLst>
          </c:dPt>
          <c:xVal>
            <c:numRef>
              <c:f>('HW#10 Calculations'!$E$14,'HW#10 Calculations'!$E$14)</c:f>
              <c:numCache>
                <c:formatCode>0.0000</c:formatCode>
                <c:ptCount val="2"/>
                <c:pt idx="0">
                  <c:v>0.47397802039671322</c:v>
                </c:pt>
                <c:pt idx="1">
                  <c:v>0.47397802039671322</c:v>
                </c:pt>
              </c:numCache>
            </c:numRef>
          </c:xVal>
          <c:yVal>
            <c:numRef>
              <c:f>('HW#8 Calculations'!$L$20,'HW#8 Calculations'!$M$5)</c:f>
              <c:numCache>
                <c:formatCode>General</c:formatCode>
                <c:ptCount val="2"/>
                <c:pt idx="0">
                  <c:v>3.4999568784718132E-2</c:v>
                </c:pt>
                <c:pt idx="1">
                  <c:v>418.71322245458731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FC6-4C4F-85A7-2F149284C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900079"/>
        <c:axId val="1845900495"/>
      </c:scatterChart>
      <c:valAx>
        <c:axId val="1845900079"/>
        <c:scaling>
          <c:orientation val="minMax"/>
          <c:max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900495"/>
        <c:crosses val="autoZero"/>
        <c:crossBetween val="midCat"/>
      </c:valAx>
      <c:valAx>
        <c:axId val="1845900495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Thrust/Drag (N)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9000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69850</xdr:colOff>
      <xdr:row>1</xdr:row>
      <xdr:rowOff>152400</xdr:rowOff>
    </xdr:from>
    <xdr:to>
      <xdr:col>14</xdr:col>
      <xdr:colOff>88900</xdr:colOff>
      <xdr:row>25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D2E8440-B8FE-5BCB-9DC2-7E1EA00CD9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6350</xdr:rowOff>
    </xdr:from>
    <xdr:to>
      <xdr:col>12</xdr:col>
      <xdr:colOff>44450</xdr:colOff>
      <xdr:row>24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0E1F41-2324-4C91-9251-F714F359F4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9FFFB-0FCB-47C0-908C-350E590F1F42}">
  <sheetPr codeName="Sheet2">
    <pageSetUpPr fitToPage="1"/>
  </sheetPr>
  <dimension ref="A1:AH78"/>
  <sheetViews>
    <sheetView workbookViewId="0">
      <selection activeCell="H20" sqref="H20"/>
    </sheetView>
  </sheetViews>
  <sheetFormatPr defaultRowHeight="15" x14ac:dyDescent="0.25"/>
  <cols>
    <col min="1" max="1" width="14.7109375" customWidth="1"/>
    <col min="2" max="7" width="12.7109375" customWidth="1"/>
    <col min="8" max="15" width="10.7109375" customWidth="1"/>
    <col min="17" max="18" width="2" bestFit="1" customWidth="1"/>
    <col min="19" max="20" width="4.5703125" bestFit="1" customWidth="1"/>
    <col min="21" max="23" width="7.5703125" bestFit="1" customWidth="1"/>
    <col min="24" max="24" width="2" bestFit="1" customWidth="1"/>
    <col min="25" max="26" width="4.5703125" bestFit="1" customWidth="1"/>
    <col min="27" max="29" width="7.5703125" bestFit="1" customWidth="1"/>
    <col min="30" max="31" width="6.5703125" bestFit="1" customWidth="1"/>
    <col min="32" max="34" width="7.5703125" bestFit="1" customWidth="1"/>
    <col min="35" max="35" width="2.7109375" customWidth="1"/>
    <col min="36" max="37" width="2" bestFit="1" customWidth="1"/>
    <col min="38" max="39" width="4.5703125" bestFit="1" customWidth="1"/>
    <col min="40" max="42" width="5" bestFit="1" customWidth="1"/>
    <col min="43" max="43" width="2" bestFit="1" customWidth="1"/>
    <col min="44" max="45" width="4.5703125" bestFit="1" customWidth="1"/>
    <col min="46" max="48" width="5" bestFit="1" customWidth="1"/>
    <col min="49" max="50" width="6" bestFit="1" customWidth="1"/>
    <col min="51" max="53" width="5" bestFit="1" customWidth="1"/>
  </cols>
  <sheetData>
    <row r="1" spans="1:15" ht="16.5" customHeight="1" x14ac:dyDescent="0.25"/>
    <row r="3" spans="1:15" ht="18.75" x14ac:dyDescent="0.3">
      <c r="A3" s="12" t="s">
        <v>7</v>
      </c>
    </row>
    <row r="5" spans="1:15" ht="15.75" x14ac:dyDescent="0.25">
      <c r="A5" s="13" t="s">
        <v>8</v>
      </c>
      <c r="B5" s="13" t="s">
        <v>9</v>
      </c>
      <c r="C5" s="13" t="s">
        <v>10</v>
      </c>
      <c r="D5" s="13" t="s">
        <v>11</v>
      </c>
      <c r="E5" s="13" t="s">
        <v>12</v>
      </c>
      <c r="F5" s="13" t="s">
        <v>13</v>
      </c>
      <c r="G5" s="13" t="s">
        <v>14</v>
      </c>
      <c r="H5" s="13" t="s">
        <v>15</v>
      </c>
      <c r="I5" s="13" t="s">
        <v>16</v>
      </c>
      <c r="J5" s="13" t="s">
        <v>0</v>
      </c>
      <c r="K5" s="13" t="s">
        <v>17</v>
      </c>
      <c r="L5" s="13" t="s">
        <v>18</v>
      </c>
      <c r="M5" s="13" t="s">
        <v>19</v>
      </c>
      <c r="N5" s="13" t="s">
        <v>1</v>
      </c>
      <c r="O5" s="13" t="s">
        <v>20</v>
      </c>
    </row>
    <row r="6" spans="1:15" x14ac:dyDescent="0.25">
      <c r="A6" s="3" t="s">
        <v>3</v>
      </c>
      <c r="B6" s="3" t="s">
        <v>4</v>
      </c>
      <c r="C6" s="3" t="s">
        <v>4</v>
      </c>
      <c r="D6" s="3" t="s">
        <v>4</v>
      </c>
      <c r="E6" s="3" t="s">
        <v>6</v>
      </c>
      <c r="F6" s="3" t="s">
        <v>6</v>
      </c>
      <c r="G6" s="3" t="s">
        <v>5</v>
      </c>
      <c r="H6" s="3" t="s">
        <v>34</v>
      </c>
      <c r="I6" s="3" t="s">
        <v>6</v>
      </c>
      <c r="J6" s="3" t="s">
        <v>6</v>
      </c>
      <c r="K6" s="3" t="s">
        <v>4</v>
      </c>
      <c r="L6" s="3" t="s">
        <v>6</v>
      </c>
      <c r="M6" s="3" t="s">
        <v>5</v>
      </c>
      <c r="N6" s="3" t="s">
        <v>5</v>
      </c>
      <c r="O6" s="3" t="s">
        <v>34</v>
      </c>
    </row>
    <row r="8" spans="1:15" ht="15.75" x14ac:dyDescent="0.25">
      <c r="A8" s="14" t="s">
        <v>9</v>
      </c>
      <c r="B8" s="15" t="s">
        <v>21</v>
      </c>
      <c r="C8" s="15"/>
      <c r="D8" s="16"/>
      <c r="E8" s="16"/>
      <c r="F8" s="17"/>
      <c r="G8" s="18" t="s">
        <v>16</v>
      </c>
      <c r="H8" s="16" t="s">
        <v>22</v>
      </c>
    </row>
    <row r="9" spans="1:15" ht="15.75" x14ac:dyDescent="0.25">
      <c r="A9" s="14" t="s">
        <v>10</v>
      </c>
      <c r="B9" s="15" t="s">
        <v>23</v>
      </c>
      <c r="C9" s="15"/>
      <c r="D9" s="16"/>
      <c r="E9" s="16"/>
      <c r="F9" s="17"/>
      <c r="G9" s="18" t="s">
        <v>0</v>
      </c>
      <c r="H9" s="16" t="s">
        <v>24</v>
      </c>
    </row>
    <row r="10" spans="1:15" ht="15.75" x14ac:dyDescent="0.25">
      <c r="A10" s="14" t="s">
        <v>11</v>
      </c>
      <c r="B10" s="15" t="s">
        <v>25</v>
      </c>
      <c r="C10" s="15"/>
      <c r="D10" s="16"/>
      <c r="E10" s="16"/>
      <c r="F10" s="17"/>
      <c r="G10" s="18" t="s">
        <v>17</v>
      </c>
      <c r="H10" s="16" t="s">
        <v>35</v>
      </c>
    </row>
    <row r="11" spans="1:15" ht="15.75" x14ac:dyDescent="0.25">
      <c r="A11" s="14" t="s">
        <v>12</v>
      </c>
      <c r="B11" s="15" t="s">
        <v>26</v>
      </c>
      <c r="C11" s="15"/>
      <c r="D11" s="16"/>
      <c r="E11" s="16"/>
      <c r="F11" s="17"/>
      <c r="G11" s="18" t="s">
        <v>18</v>
      </c>
      <c r="H11" s="16" t="s">
        <v>27</v>
      </c>
    </row>
    <row r="12" spans="1:15" ht="15.75" x14ac:dyDescent="0.25">
      <c r="A12" s="14" t="s">
        <v>13</v>
      </c>
      <c r="B12" s="15" t="s">
        <v>28</v>
      </c>
      <c r="C12" s="15"/>
      <c r="D12" s="16"/>
      <c r="E12" s="16"/>
      <c r="F12" s="17"/>
      <c r="G12" s="18" t="s">
        <v>19</v>
      </c>
      <c r="H12" s="16" t="s">
        <v>29</v>
      </c>
    </row>
    <row r="13" spans="1:15" ht="15.75" x14ac:dyDescent="0.25">
      <c r="A13" s="14" t="s">
        <v>14</v>
      </c>
      <c r="B13" s="15" t="s">
        <v>30</v>
      </c>
      <c r="C13" s="15"/>
      <c r="D13" s="16"/>
      <c r="E13" s="16"/>
      <c r="F13" s="17"/>
      <c r="G13" s="18" t="s">
        <v>1</v>
      </c>
      <c r="H13" s="16" t="s">
        <v>31</v>
      </c>
    </row>
    <row r="14" spans="1:15" ht="15.75" x14ac:dyDescent="0.25">
      <c r="A14" s="14" t="s">
        <v>15</v>
      </c>
      <c r="B14" s="15" t="s">
        <v>32</v>
      </c>
      <c r="C14" s="15"/>
      <c r="D14" s="16"/>
      <c r="E14" s="16"/>
      <c r="F14" s="17"/>
      <c r="G14" s="18" t="s">
        <v>20</v>
      </c>
      <c r="H14" s="16" t="s">
        <v>33</v>
      </c>
    </row>
    <row r="18" spans="6:15" x14ac:dyDescent="0.25">
      <c r="F18" s="10"/>
      <c r="G18" s="11"/>
      <c r="H18" s="10"/>
    </row>
    <row r="19" spans="6:15" x14ac:dyDescent="0.25">
      <c r="F19" s="10"/>
      <c r="G19" s="11"/>
      <c r="H19" s="10"/>
    </row>
    <row r="20" spans="6:15" x14ac:dyDescent="0.25">
      <c r="F20" s="10"/>
      <c r="G20" s="11"/>
      <c r="H20" s="10"/>
    </row>
    <row r="25" spans="6:15" x14ac:dyDescent="0.25">
      <c r="G25" s="2"/>
      <c r="H25" s="2"/>
      <c r="I25" s="2"/>
      <c r="J25" s="2"/>
      <c r="K25" s="2"/>
      <c r="L25" s="2"/>
      <c r="M25" s="5"/>
      <c r="N25" s="5"/>
      <c r="O25" s="6"/>
    </row>
    <row r="45" spans="19:34" x14ac:dyDescent="0.25">
      <c r="S45" s="2"/>
      <c r="T45" s="2"/>
      <c r="U45" s="5"/>
      <c r="V45" s="5"/>
      <c r="W45" s="6"/>
      <c r="Y45" s="2"/>
      <c r="Z45" s="2"/>
      <c r="AA45" s="5"/>
      <c r="AB45" s="5"/>
      <c r="AC45" s="7"/>
      <c r="AD45" s="1"/>
      <c r="AE45" s="1"/>
      <c r="AF45" s="6"/>
      <c r="AG45" s="7"/>
      <c r="AH45" s="8"/>
    </row>
    <row r="46" spans="19:34" x14ac:dyDescent="0.25">
      <c r="S46" s="2"/>
      <c r="T46" s="2"/>
      <c r="U46" s="5"/>
      <c r="V46" s="5"/>
      <c r="W46" s="6"/>
      <c r="Y46" s="2"/>
      <c r="Z46" s="2"/>
      <c r="AA46" s="5"/>
      <c r="AB46" s="5"/>
      <c r="AC46" s="7"/>
      <c r="AD46" s="1"/>
      <c r="AE46" s="1"/>
      <c r="AF46" s="6"/>
      <c r="AG46" s="7"/>
      <c r="AH46" s="8"/>
    </row>
    <row r="47" spans="19:34" x14ac:dyDescent="0.25">
      <c r="S47" s="2"/>
      <c r="T47" s="2"/>
      <c r="U47" s="5"/>
      <c r="V47" s="5"/>
      <c r="W47" s="6"/>
      <c r="Y47" s="2"/>
      <c r="Z47" s="2"/>
      <c r="AA47" s="5"/>
      <c r="AB47" s="5"/>
      <c r="AC47" s="7"/>
      <c r="AD47" s="1"/>
      <c r="AE47" s="1"/>
      <c r="AF47" s="6"/>
      <c r="AG47" s="7"/>
      <c r="AH47" s="8"/>
    </row>
    <row r="48" spans="19:34" x14ac:dyDescent="0.25">
      <c r="S48" s="2"/>
      <c r="T48" s="2"/>
      <c r="U48" s="5"/>
      <c r="V48" s="5"/>
      <c r="W48" s="6"/>
      <c r="Y48" s="2"/>
      <c r="Z48" s="2"/>
      <c r="AA48" s="5"/>
      <c r="AB48" s="5"/>
      <c r="AC48" s="7"/>
      <c r="AD48" s="1"/>
      <c r="AE48" s="1"/>
      <c r="AF48" s="6"/>
      <c r="AG48" s="7"/>
      <c r="AH48" s="8"/>
    </row>
    <row r="49" spans="1:34" x14ac:dyDescent="0.25">
      <c r="S49" s="2"/>
      <c r="T49" s="2"/>
      <c r="U49" s="5"/>
      <c r="V49" s="5"/>
      <c r="W49" s="6"/>
      <c r="Y49" s="2"/>
      <c r="Z49" s="2"/>
      <c r="AA49" s="5"/>
      <c r="AB49" s="5"/>
      <c r="AC49" s="7"/>
      <c r="AD49" s="1"/>
      <c r="AE49" s="1"/>
      <c r="AF49" s="6"/>
      <c r="AG49" s="7"/>
      <c r="AH49" s="8"/>
    </row>
    <row r="50" spans="1:34" x14ac:dyDescent="0.25">
      <c r="S50" s="2"/>
      <c r="T50" s="2"/>
      <c r="U50" s="5"/>
      <c r="V50" s="5"/>
      <c r="W50" s="6"/>
      <c r="Y50" s="2"/>
      <c r="Z50" s="2"/>
      <c r="AA50" s="5"/>
      <c r="AB50" s="5"/>
      <c r="AC50" s="7"/>
      <c r="AD50" s="1"/>
      <c r="AE50" s="1"/>
      <c r="AF50" s="6"/>
      <c r="AG50" s="7"/>
      <c r="AH50" s="8"/>
    </row>
    <row r="51" spans="1:34" x14ac:dyDescent="0.25">
      <c r="S51" s="2"/>
      <c r="T51" s="2"/>
      <c r="U51" s="5"/>
      <c r="V51" s="5"/>
      <c r="W51" s="6"/>
      <c r="Y51" s="2"/>
      <c r="Z51" s="2"/>
      <c r="AA51" s="5"/>
      <c r="AB51" s="5"/>
      <c r="AC51" s="7"/>
      <c r="AD51" s="1"/>
      <c r="AE51" s="1"/>
      <c r="AF51" s="6"/>
      <c r="AG51" s="7"/>
      <c r="AH51" s="8"/>
    </row>
    <row r="52" spans="1:34" x14ac:dyDescent="0.25">
      <c r="S52" s="2"/>
      <c r="T52" s="2"/>
      <c r="U52" s="5"/>
      <c r="V52" s="5"/>
      <c r="W52" s="6"/>
      <c r="Y52" s="2"/>
      <c r="Z52" s="2"/>
      <c r="AA52" s="5"/>
      <c r="AB52" s="5"/>
      <c r="AC52" s="7"/>
      <c r="AD52" s="1"/>
      <c r="AE52" s="1"/>
      <c r="AF52" s="6"/>
      <c r="AG52" s="7"/>
      <c r="AH52" s="8"/>
    </row>
    <row r="53" spans="1:34" x14ac:dyDescent="0.25">
      <c r="S53" s="2"/>
      <c r="T53" s="2"/>
      <c r="U53" s="5"/>
      <c r="V53" s="5"/>
      <c r="W53" s="6"/>
      <c r="Y53" s="2"/>
      <c r="Z53" s="2"/>
      <c r="AA53" s="5"/>
      <c r="AB53" s="5"/>
      <c r="AC53" s="7"/>
      <c r="AD53" s="1"/>
      <c r="AE53" s="1"/>
      <c r="AF53" s="6"/>
      <c r="AG53" s="7"/>
      <c r="AH53" s="8"/>
    </row>
    <row r="54" spans="1:34" x14ac:dyDescent="0.25">
      <c r="L54" s="2"/>
      <c r="M54" s="2"/>
      <c r="N54" s="5"/>
      <c r="O54" s="5"/>
      <c r="P54" s="6"/>
      <c r="R54" s="2"/>
      <c r="S54" s="2"/>
      <c r="T54" s="5"/>
      <c r="U54" s="5"/>
      <c r="V54" s="7"/>
      <c r="W54" s="1"/>
      <c r="X54" s="1"/>
      <c r="Y54" s="6"/>
      <c r="Z54" s="7"/>
      <c r="AA54" s="8"/>
    </row>
    <row r="55" spans="1:34" x14ac:dyDescent="0.25">
      <c r="L55" s="2"/>
      <c r="M55" s="2"/>
      <c r="N55" s="5"/>
      <c r="O55" s="5"/>
      <c r="P55" s="6"/>
      <c r="R55" s="2"/>
      <c r="S55" s="2"/>
      <c r="T55" s="5"/>
      <c r="U55" s="5"/>
      <c r="V55" s="7"/>
      <c r="W55" s="1"/>
      <c r="X55" s="1"/>
      <c r="Y55" s="6"/>
      <c r="Z55" s="7"/>
      <c r="AA55" s="8"/>
    </row>
    <row r="57" spans="1:34" ht="18" customHeight="1" x14ac:dyDescent="0.25">
      <c r="B57" s="9"/>
    </row>
    <row r="58" spans="1:34" ht="18" customHeight="1" x14ac:dyDescent="0.25">
      <c r="A58" s="9"/>
      <c r="B58" s="9"/>
    </row>
    <row r="59" spans="1:34" ht="18" customHeight="1" x14ac:dyDescent="0.25">
      <c r="A59" s="9"/>
    </row>
    <row r="60" spans="1:34" ht="18" customHeight="1" x14ac:dyDescent="0.25">
      <c r="A60" s="9"/>
    </row>
    <row r="61" spans="1:34" ht="18" customHeight="1" x14ac:dyDescent="0.25"/>
    <row r="62" spans="1:34" ht="18" customHeight="1" x14ac:dyDescent="0.25">
      <c r="A62" s="3"/>
    </row>
    <row r="63" spans="1:34" ht="18" customHeight="1" x14ac:dyDescent="0.25">
      <c r="B63" s="4"/>
    </row>
    <row r="64" spans="1:34" ht="18" customHeight="1" x14ac:dyDescent="0.25">
      <c r="B64" s="4"/>
    </row>
    <row r="65" spans="1:1" ht="18" customHeight="1" x14ac:dyDescent="0.25"/>
    <row r="66" spans="1:1" ht="18" customHeight="1" x14ac:dyDescent="0.25"/>
    <row r="67" spans="1:1" ht="18" customHeight="1" x14ac:dyDescent="0.25">
      <c r="A67" s="3"/>
    </row>
    <row r="68" spans="1:1" ht="18" customHeight="1" x14ac:dyDescent="0.25"/>
    <row r="69" spans="1:1" ht="18" customHeight="1" x14ac:dyDescent="0.25"/>
    <row r="70" spans="1:1" ht="18" customHeight="1" x14ac:dyDescent="0.25"/>
    <row r="71" spans="1:1" ht="18" customHeight="1" x14ac:dyDescent="0.25"/>
    <row r="72" spans="1:1" ht="18" customHeight="1" x14ac:dyDescent="0.25"/>
    <row r="73" spans="1:1" ht="18" customHeight="1" x14ac:dyDescent="0.25"/>
    <row r="74" spans="1:1" ht="18" customHeight="1" x14ac:dyDescent="0.25"/>
    <row r="75" spans="1:1" ht="18" customHeight="1" x14ac:dyDescent="0.25"/>
    <row r="76" spans="1:1" ht="18" customHeight="1" x14ac:dyDescent="0.25"/>
    <row r="77" spans="1:1" ht="18" customHeight="1" x14ac:dyDescent="0.25"/>
    <row r="78" spans="1:1" ht="18" customHeight="1" x14ac:dyDescent="0.25"/>
  </sheetData>
  <printOptions horizontalCentered="1" verticalCentered="1" gridLines="1"/>
  <pageMargins left="0.2" right="0.2" top="0.5" bottom="0.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36A8C-D2EF-461B-A559-2E21A3BFE061}">
  <sheetPr codeName="Sheet5"/>
  <dimension ref="A1:V64"/>
  <sheetViews>
    <sheetView zoomScale="82" zoomScaleNormal="82" workbookViewId="0">
      <pane xSplit="1" ySplit="1" topLeftCell="E2" activePane="bottomRight" state="frozen"/>
      <selection pane="topRight" activeCell="B1" sqref="B1"/>
      <selection pane="bottomLeft" activeCell="A2" sqref="A2"/>
      <selection pane="bottomRight" activeCell="R23" sqref="R23"/>
    </sheetView>
  </sheetViews>
  <sheetFormatPr defaultRowHeight="15" x14ac:dyDescent="0.25"/>
  <cols>
    <col min="1" max="1" width="10.140625" style="22" bestFit="1" customWidth="1"/>
    <col min="2" max="2" width="7.28515625" customWidth="1"/>
    <col min="3" max="3" width="9.140625" customWidth="1"/>
    <col min="4" max="4" width="9" customWidth="1"/>
    <col min="8" max="8" width="12.42578125" customWidth="1"/>
    <col min="11" max="11" width="12.42578125" bestFit="1" customWidth="1"/>
    <col min="12" max="12" width="10.42578125" bestFit="1" customWidth="1"/>
    <col min="15" max="15" width="12.42578125" customWidth="1"/>
    <col min="19" max="19" width="13" customWidth="1"/>
    <col min="20" max="20" width="14.28515625" customWidth="1"/>
    <col min="21" max="21" width="9.85546875" customWidth="1"/>
    <col min="22" max="22" width="12.42578125" customWidth="1"/>
  </cols>
  <sheetData>
    <row r="1" spans="1:22" s="19" customFormat="1" ht="15.75" x14ac:dyDescent="0.25">
      <c r="A1" s="20" t="s">
        <v>8</v>
      </c>
      <c r="B1" s="21" t="s">
        <v>9</v>
      </c>
      <c r="C1" s="21" t="s">
        <v>10</v>
      </c>
      <c r="D1" s="21" t="s">
        <v>11</v>
      </c>
      <c r="E1" s="21" t="s">
        <v>12</v>
      </c>
      <c r="F1" s="21" t="s">
        <v>13</v>
      </c>
      <c r="G1" s="21" t="s">
        <v>14</v>
      </c>
      <c r="H1" s="21" t="s">
        <v>15</v>
      </c>
      <c r="I1" s="21" t="s">
        <v>16</v>
      </c>
      <c r="J1" s="21" t="s">
        <v>0</v>
      </c>
      <c r="K1" s="21" t="s">
        <v>17</v>
      </c>
      <c r="L1" s="21" t="s">
        <v>18</v>
      </c>
      <c r="M1" s="21" t="s">
        <v>19</v>
      </c>
      <c r="N1" s="21" t="s">
        <v>1</v>
      </c>
      <c r="O1" s="21" t="s">
        <v>20</v>
      </c>
      <c r="R1" s="19" t="s">
        <v>40</v>
      </c>
      <c r="S1" s="19" t="s">
        <v>36</v>
      </c>
      <c r="T1" s="19" t="s">
        <v>37</v>
      </c>
      <c r="U1" s="19" t="s">
        <v>38</v>
      </c>
      <c r="V1" s="19" t="s">
        <v>39</v>
      </c>
    </row>
    <row r="2" spans="1:22" x14ac:dyDescent="0.25">
      <c r="A2" s="25">
        <v>0</v>
      </c>
      <c r="B2" s="23">
        <f>C2-459.67</f>
        <v>58.999999999999943</v>
      </c>
      <c r="C2" s="23">
        <f>$R$2 - 3.566*A2/1000</f>
        <v>518.66999999999996</v>
      </c>
      <c r="D2" s="23">
        <f>(5/9)*(B2-32)</f>
        <v>14.99999999999997</v>
      </c>
      <c r="E2" s="1">
        <f>C2/$R$2</f>
        <v>1</v>
      </c>
      <c r="F2" s="1">
        <f>POWER(E2,5.2562)</f>
        <v>1</v>
      </c>
      <c r="G2" s="2">
        <f>F2*$S$2</f>
        <v>2116.2199999999998</v>
      </c>
      <c r="H2" s="24">
        <f>I2*$T$2</f>
        <v>2.3768800000000001E-3</v>
      </c>
      <c r="I2" s="1">
        <f>F2/E2</f>
        <v>1</v>
      </c>
      <c r="J2" s="1">
        <f>SQRT(I2)</f>
        <v>1</v>
      </c>
      <c r="K2" s="23">
        <f>1481.4354*F2</f>
        <v>1481.4354000000001</v>
      </c>
      <c r="L2" s="1">
        <f>H2*$V$2</f>
        <v>7.6473852160991992E-2</v>
      </c>
      <c r="M2">
        <f>$U$2*SQRT(E2)</f>
        <v>1116.45</v>
      </c>
      <c r="N2" s="2">
        <f>3600*M2/6076.4</f>
        <v>661.44756763873352</v>
      </c>
      <c r="O2" s="24">
        <f>(0.226968*POWER(10,-7)*POWER(C2,1.5))/(H2*(C2+198.73))</f>
        <v>1.5722901569351864E-4</v>
      </c>
      <c r="R2">
        <v>518.66999999999996</v>
      </c>
      <c r="S2">
        <v>2116.2199999999998</v>
      </c>
      <c r="T2">
        <v>2.3768800000000001E-3</v>
      </c>
      <c r="U2">
        <v>1116.45</v>
      </c>
      <c r="V2">
        <v>32.174048399999997</v>
      </c>
    </row>
    <row r="3" spans="1:22" x14ac:dyDescent="0.25">
      <c r="A3" s="26">
        <v>1000</v>
      </c>
      <c r="B3" s="23">
        <f t="shared" ref="B3:B63" si="0">C3-459.67</f>
        <v>55.433999999999912</v>
      </c>
      <c r="C3" s="23">
        <f>$R$2 - 3.566*A3/1000</f>
        <v>515.10399999999993</v>
      </c>
      <c r="D3" s="23">
        <f t="shared" ref="D3:D63" si="1">(5/9)*(B3-32)</f>
        <v>13.01888888888884</v>
      </c>
      <c r="E3" s="1">
        <f>C3/$R$2</f>
        <v>0.9931247228488248</v>
      </c>
      <c r="F3" s="1">
        <f>POWER(E3,5.2562)</f>
        <v>0.96438698044801985</v>
      </c>
      <c r="G3" s="2">
        <f t="shared" ref="G3:G63" si="2">F3*$S$2</f>
        <v>2040.8550157637085</v>
      </c>
      <c r="H3" s="24">
        <f t="shared" ref="H3:H63" si="3">I3*$T$2</f>
        <v>2.3081009598793535E-3</v>
      </c>
      <c r="I3" s="1">
        <f>F3/E3</f>
        <v>0.97106330983446931</v>
      </c>
      <c r="J3" s="1">
        <f t="shared" ref="J3:J37" si="4">SQRT(I3)</f>
        <v>0.9854254461066394</v>
      </c>
      <c r="K3" s="23">
        <f t="shared" ref="K3:K63" si="5">1481.4354*F3</f>
        <v>1428.6770121348045</v>
      </c>
      <c r="L3" s="1">
        <f t="shared" ref="L3:L63" si="6">H3*$V$2</f>
        <v>7.4260951995244767E-2</v>
      </c>
      <c r="M3" s="2">
        <f>$U$2*SQRT(E3)</f>
        <v>1112.6054288919283</v>
      </c>
      <c r="N3" s="2">
        <f t="shared" ref="N3:N63" si="7">3600*M3/6076.4</f>
        <v>659.16982818954352</v>
      </c>
      <c r="O3" s="24">
        <f>(0.226968*POWER(10,-7)*POWER(C3,1.5))/(H3*(C3+198.73))</f>
        <v>1.6104786919317091E-4</v>
      </c>
    </row>
    <row r="4" spans="1:22" x14ac:dyDescent="0.25">
      <c r="A4" s="26">
        <v>2000</v>
      </c>
      <c r="B4" s="23">
        <f t="shared" si="0"/>
        <v>51.867999999999938</v>
      </c>
      <c r="C4" s="23">
        <f t="shared" ref="C4:C38" si="8">$R$2 - 3.566*A4/1000</f>
        <v>511.53799999999995</v>
      </c>
      <c r="D4" s="23">
        <f t="shared" si="1"/>
        <v>11.037777777777745</v>
      </c>
      <c r="E4" s="1">
        <f t="shared" ref="E4:E63" si="9">C4/$R$2</f>
        <v>0.98624944569764972</v>
      </c>
      <c r="F4" s="1">
        <f t="shared" ref="F4:F37" si="10">POWER(E4,5.2562)</f>
        <v>0.92980798538287401</v>
      </c>
      <c r="G4" s="2">
        <f t="shared" si="2"/>
        <v>1967.6782548269455</v>
      </c>
      <c r="H4" s="24">
        <f t="shared" si="3"/>
        <v>2.240855002695098E-3</v>
      </c>
      <c r="I4" s="1">
        <f t="shared" ref="I4:I63" si="11">F4/E4</f>
        <v>0.9427716177068669</v>
      </c>
      <c r="J4" s="1">
        <f t="shared" si="4"/>
        <v>0.97096427210627423</v>
      </c>
      <c r="K4" s="23">
        <f t="shared" si="5"/>
        <v>1377.4504647488723</v>
      </c>
      <c r="L4" s="1">
        <f t="shared" si="6"/>
        <v>7.2097377314094199E-2</v>
      </c>
      <c r="M4" s="2">
        <f t="shared" ref="M4:M63" si="12">$U$2*SQRT(E4)</f>
        <v>1108.7475268516198</v>
      </c>
      <c r="N4" s="2">
        <f t="shared" si="7"/>
        <v>656.88419074877095</v>
      </c>
      <c r="O4" s="24">
        <f t="shared" ref="O4:O63" si="13">(0.226968*POWER(10,-7)*POWER(C4,1.5))/(H4*(C4+198.73))</f>
        <v>1.6498538628572268E-4</v>
      </c>
    </row>
    <row r="5" spans="1:22" x14ac:dyDescent="0.25">
      <c r="A5" s="26">
        <v>3000</v>
      </c>
      <c r="B5" s="23">
        <f t="shared" si="0"/>
        <v>48.301999999999964</v>
      </c>
      <c r="C5" s="23">
        <f t="shared" si="8"/>
        <v>507.97199999999998</v>
      </c>
      <c r="D5" s="23">
        <f t="shared" si="1"/>
        <v>9.0566666666666471</v>
      </c>
      <c r="E5" s="1">
        <f t="shared" si="9"/>
        <v>0.97937416854647463</v>
      </c>
      <c r="F5" s="1">
        <f t="shared" si="10"/>
        <v>0.89623988747953864</v>
      </c>
      <c r="G5" s="2">
        <f t="shared" si="2"/>
        <v>1896.6407746819491</v>
      </c>
      <c r="H5" s="24">
        <f t="shared" si="3"/>
        <v>2.1751182869300663E-3</v>
      </c>
      <c r="I5" s="1">
        <f t="shared" si="11"/>
        <v>0.91511489302365545</v>
      </c>
      <c r="J5" s="1">
        <f t="shared" si="4"/>
        <v>0.95661637714585224</v>
      </c>
      <c r="K5" s="23">
        <f t="shared" si="5"/>
        <v>1327.7214962042053</v>
      </c>
      <c r="L5" s="1">
        <f t="shared" si="6"/>
        <v>6.9982361039413035E-2</v>
      </c>
      <c r="M5" s="2">
        <f t="shared" si="12"/>
        <v>1104.8761542360191</v>
      </c>
      <c r="N5" s="2">
        <f t="shared" si="7"/>
        <v>654.59057258404141</v>
      </c>
      <c r="O5" s="24">
        <f t="shared" si="13"/>
        <v>1.6904607513595972E-4</v>
      </c>
    </row>
    <row r="6" spans="1:22" x14ac:dyDescent="0.25">
      <c r="A6" s="26">
        <v>4000</v>
      </c>
      <c r="B6" s="23">
        <f t="shared" si="0"/>
        <v>44.735999999999933</v>
      </c>
      <c r="C6" s="23">
        <f t="shared" si="8"/>
        <v>504.40599999999995</v>
      </c>
      <c r="D6" s="23">
        <f t="shared" si="1"/>
        <v>7.0755555555555185</v>
      </c>
      <c r="E6" s="1">
        <f t="shared" si="9"/>
        <v>0.97249889139529955</v>
      </c>
      <c r="F6" s="1">
        <f t="shared" si="10"/>
        <v>0.86365992031618855</v>
      </c>
      <c r="G6" s="2">
        <f t="shared" si="2"/>
        <v>1827.6943965715243</v>
      </c>
      <c r="H6" s="24">
        <f t="shared" si="3"/>
        <v>2.1108671789392482E-3</v>
      </c>
      <c r="I6" s="1">
        <f t="shared" si="11"/>
        <v>0.88808319264718794</v>
      </c>
      <c r="J6" s="1">
        <f t="shared" si="4"/>
        <v>0.94238165975744026</v>
      </c>
      <c r="K6" s="23">
        <f t="shared" si="5"/>
        <v>1279.4563795175809</v>
      </c>
      <c r="L6" s="1">
        <f t="shared" si="6"/>
        <v>6.7915142781162827E-2</v>
      </c>
      <c r="M6" s="2">
        <f t="shared" si="12"/>
        <v>1100.9911689469482</v>
      </c>
      <c r="N6" s="2">
        <f t="shared" si="7"/>
        <v>652.28888950842827</v>
      </c>
      <c r="O6" s="24">
        <f t="shared" si="13"/>
        <v>1.7323464696702602E-4</v>
      </c>
    </row>
    <row r="7" spans="1:22" x14ac:dyDescent="0.25">
      <c r="A7" s="26">
        <v>5000</v>
      </c>
      <c r="B7" s="23">
        <f t="shared" si="0"/>
        <v>41.169999999999959</v>
      </c>
      <c r="C7" s="23">
        <f t="shared" si="8"/>
        <v>500.84</v>
      </c>
      <c r="D7" s="23">
        <f t="shared" si="1"/>
        <v>5.0944444444444219</v>
      </c>
      <c r="E7" s="1">
        <f t="shared" si="9"/>
        <v>0.96562361424412446</v>
      </c>
      <c r="F7" s="1">
        <f t="shared" si="10"/>
        <v>0.8320456752165577</v>
      </c>
      <c r="G7" s="2">
        <f t="shared" si="2"/>
        <v>1760.7916988067836</v>
      </c>
      <c r="H7" s="24">
        <f t="shared" si="3"/>
        <v>2.0480782525775574E-3</v>
      </c>
      <c r="I7" s="1">
        <f t="shared" si="11"/>
        <v>0.86166666073910225</v>
      </c>
      <c r="J7" s="1">
        <f t="shared" si="4"/>
        <v>0.92826001785011847</v>
      </c>
      <c r="K7" s="23">
        <f t="shared" si="5"/>
        <v>1232.6219176827112</v>
      </c>
      <c r="L7" s="1">
        <f t="shared" si="6"/>
        <v>6.5894968825417746E-2</v>
      </c>
      <c r="M7" s="2">
        <f t="shared" si="12"/>
        <v>1097.0924263702484</v>
      </c>
      <c r="N7" s="2">
        <f t="shared" si="7"/>
        <v>649.97905584439707</v>
      </c>
      <c r="O7" s="24">
        <f t="shared" si="13"/>
        <v>1.7755602666546483E-4</v>
      </c>
    </row>
    <row r="8" spans="1:22" x14ac:dyDescent="0.25">
      <c r="A8" s="26">
        <v>6000</v>
      </c>
      <c r="B8" s="23">
        <f t="shared" si="0"/>
        <v>37.603999999999928</v>
      </c>
      <c r="C8" s="23">
        <f t="shared" si="8"/>
        <v>497.27399999999994</v>
      </c>
      <c r="D8" s="23">
        <f t="shared" si="1"/>
        <v>3.1133333333332938</v>
      </c>
      <c r="E8" s="1">
        <f t="shared" si="9"/>
        <v>0.95874833709294927</v>
      </c>
      <c r="F8" s="1">
        <f t="shared" si="10"/>
        <v>0.80137509809797391</v>
      </c>
      <c r="G8" s="2">
        <f t="shared" si="2"/>
        <v>1695.8860100968941</v>
      </c>
      <c r="H8" s="24">
        <f t="shared" si="3"/>
        <v>1.9867282888256497E-3</v>
      </c>
      <c r="I8" s="1">
        <f t="shared" si="11"/>
        <v>0.83585552860289525</v>
      </c>
      <c r="J8" s="1">
        <f t="shared" si="4"/>
        <v>0.91425134870170977</v>
      </c>
      <c r="K8" s="23">
        <f t="shared" si="5"/>
        <v>1187.1854390008114</v>
      </c>
      <c r="L8" s="1">
        <f t="shared" si="6"/>
        <v>6.3921092122325621E-2</v>
      </c>
      <c r="M8" s="2">
        <f t="shared" si="12"/>
        <v>1093.1797793129685</v>
      </c>
      <c r="N8" s="2">
        <f t="shared" si="7"/>
        <v>647.66098438659185</v>
      </c>
      <c r="O8" s="24">
        <f t="shared" si="13"/>
        <v>1.8201536401772435E-4</v>
      </c>
    </row>
    <row r="9" spans="1:22" x14ac:dyDescent="0.25">
      <c r="A9" s="26">
        <v>7000</v>
      </c>
      <c r="B9" s="23">
        <f t="shared" si="0"/>
        <v>34.037999999999954</v>
      </c>
      <c r="C9" s="23">
        <f t="shared" si="8"/>
        <v>493.70799999999997</v>
      </c>
      <c r="D9" s="23">
        <f t="shared" si="1"/>
        <v>1.1322222222221967</v>
      </c>
      <c r="E9" s="1">
        <f t="shared" si="9"/>
        <v>0.95187305994177418</v>
      </c>
      <c r="F9" s="1">
        <f t="shared" si="10"/>
        <v>0.77162648632510011</v>
      </c>
      <c r="G9" s="2">
        <f t="shared" si="2"/>
        <v>1632.9314028909032</v>
      </c>
      <c r="H9" s="24">
        <f t="shared" si="3"/>
        <v>1.9267942754137755E-3</v>
      </c>
      <c r="I9" s="1">
        <f t="shared" si="11"/>
        <v>0.81064011452567042</v>
      </c>
      <c r="J9" s="1">
        <f t="shared" si="4"/>
        <v>0.90035554895034131</v>
      </c>
      <c r="K9" s="23">
        <f t="shared" si="5"/>
        <v>1143.1147924196193</v>
      </c>
      <c r="L9" s="1">
        <f t="shared" si="6"/>
        <v>6.1992772274005736E-2</v>
      </c>
      <c r="M9" s="2">
        <f t="shared" si="12"/>
        <v>1089.2530779385215</v>
      </c>
      <c r="N9" s="2">
        <f t="shared" si="7"/>
        <v>645.33458636341868</v>
      </c>
      <c r="O9" s="24">
        <f t="shared" si="13"/>
        <v>1.8661804562043285E-4</v>
      </c>
    </row>
    <row r="10" spans="1:22" x14ac:dyDescent="0.25">
      <c r="A10" s="26">
        <v>8000</v>
      </c>
      <c r="B10" s="23">
        <f t="shared" si="0"/>
        <v>30.471999999999923</v>
      </c>
      <c r="C10" s="23">
        <f t="shared" si="8"/>
        <v>490.14199999999994</v>
      </c>
      <c r="D10" s="23">
        <f t="shared" si="1"/>
        <v>-0.84888888888893166</v>
      </c>
      <c r="E10" s="1">
        <f t="shared" si="9"/>
        <v>0.94499778279059898</v>
      </c>
      <c r="F10" s="1">
        <f t="shared" si="10"/>
        <v>0.74277848556940373</v>
      </c>
      <c r="G10" s="2">
        <f t="shared" si="2"/>
        <v>1571.8826867316834</v>
      </c>
      <c r="H10" s="24">
        <f t="shared" si="3"/>
        <v>1.8682534064436197E-3</v>
      </c>
      <c r="I10" s="1">
        <f t="shared" si="11"/>
        <v>0.78601082361903829</v>
      </c>
      <c r="J10" s="1">
        <f t="shared" si="4"/>
        <v>0.88657251458582809</v>
      </c>
      <c r="K10" s="23">
        <f t="shared" si="5"/>
        <v>1100.3783428809038</v>
      </c>
      <c r="L10" s="1">
        <f t="shared" si="6"/>
        <v>6.0109275522381884E-2</v>
      </c>
      <c r="M10" s="2">
        <f t="shared" si="12"/>
        <v>1085.3121696997296</v>
      </c>
      <c r="N10" s="2">
        <f t="shared" si="7"/>
        <v>642.9997713973778</v>
      </c>
      <c r="O10" s="24">
        <f t="shared" si="13"/>
        <v>1.9136970750990075E-4</v>
      </c>
    </row>
    <row r="11" spans="1:22" x14ac:dyDescent="0.25">
      <c r="A11" s="26">
        <v>9000</v>
      </c>
      <c r="B11" s="23">
        <f t="shared" si="0"/>
        <v>26.905999999999949</v>
      </c>
      <c r="C11" s="23">
        <f t="shared" si="8"/>
        <v>486.57599999999996</v>
      </c>
      <c r="D11" s="23">
        <f t="shared" si="1"/>
        <v>-2.8300000000000285</v>
      </c>
      <c r="E11" s="1">
        <f t="shared" si="9"/>
        <v>0.9381225056394239</v>
      </c>
      <c r="F11" s="1">
        <f t="shared" si="10"/>
        <v>0.71481008667439916</v>
      </c>
      <c r="G11" s="2">
        <f t="shared" si="2"/>
        <v>1512.6954016220968</v>
      </c>
      <c r="H11" s="24">
        <f t="shared" si="3"/>
        <v>1.8110830820081394E-3</v>
      </c>
      <c r="I11" s="1">
        <f t="shared" si="11"/>
        <v>0.7619581476591748</v>
      </c>
      <c r="J11" s="1">
        <f t="shared" si="4"/>
        <v>0.87290214094088159</v>
      </c>
      <c r="K11" s="23">
        <f t="shared" si="5"/>
        <v>1058.9449666765233</v>
      </c>
      <c r="L11" s="1">
        <f t="shared" si="6"/>
        <v>5.8269874736951041E-2</v>
      </c>
      <c r="M11" s="2">
        <f t="shared" si="12"/>
        <v>1081.3568992696751</v>
      </c>
      <c r="N11" s="2">
        <f t="shared" si="7"/>
        <v>640.65644746409555</v>
      </c>
      <c r="O11" s="24">
        <f t="shared" si="13"/>
        <v>1.9627624855972155E-4</v>
      </c>
    </row>
    <row r="12" spans="1:22" x14ac:dyDescent="0.25">
      <c r="A12" s="26">
        <v>10000</v>
      </c>
      <c r="B12" s="23">
        <f t="shared" si="0"/>
        <v>23.339999999999975</v>
      </c>
      <c r="C12" s="23">
        <f t="shared" si="8"/>
        <v>483.01</v>
      </c>
      <c r="D12" s="23">
        <f t="shared" si="1"/>
        <v>-4.8111111111111251</v>
      </c>
      <c r="E12" s="1">
        <f t="shared" si="9"/>
        <v>0.93124722848824881</v>
      </c>
      <c r="F12" s="1">
        <f t="shared" si="10"/>
        <v>0.68770062252667719</v>
      </c>
      <c r="G12" s="2">
        <f t="shared" si="2"/>
        <v>1455.3258114034047</v>
      </c>
      <c r="H12" s="24">
        <f t="shared" si="3"/>
        <v>1.7552609078093325E-3</v>
      </c>
      <c r="I12" s="1">
        <f t="shared" si="11"/>
        <v>0.73847266492600905</v>
      </c>
      <c r="J12" s="1">
        <f t="shared" si="4"/>
        <v>0.85934432268213012</v>
      </c>
      <c r="K12" s="23">
        <f t="shared" si="5"/>
        <v>1018.7840468130571</v>
      </c>
      <c r="L12" s="1">
        <f t="shared" si="6"/>
        <v>5.6473849402485399E-2</v>
      </c>
      <c r="M12" s="2">
        <f t="shared" si="12"/>
        <v>1077.3871084702648</v>
      </c>
      <c r="N12" s="2">
        <f t="shared" si="7"/>
        <v>638.30452085000229</v>
      </c>
      <c r="O12" s="24">
        <f t="shared" si="13"/>
        <v>2.0134384469904898E-4</v>
      </c>
    </row>
    <row r="13" spans="1:22" x14ac:dyDescent="0.25">
      <c r="A13" s="26">
        <v>11000</v>
      </c>
      <c r="B13" s="23">
        <f t="shared" si="0"/>
        <v>19.773999999999944</v>
      </c>
      <c r="C13" s="23">
        <f t="shared" si="8"/>
        <v>479.44399999999996</v>
      </c>
      <c r="D13" s="23">
        <f t="shared" si="1"/>
        <v>-6.7922222222222537</v>
      </c>
      <c r="E13" s="1">
        <f t="shared" si="9"/>
        <v>0.92437195133707362</v>
      </c>
      <c r="F13" s="1">
        <f t="shared" si="10"/>
        <v>0.66142976493276806</v>
      </c>
      <c r="G13" s="2">
        <f t="shared" si="2"/>
        <v>1399.7308971460222</v>
      </c>
      <c r="H13" s="24">
        <f t="shared" si="3"/>
        <v>1.7007646947739493E-3</v>
      </c>
      <c r="I13" s="1">
        <f t="shared" si="11"/>
        <v>0.71554504004154573</v>
      </c>
      <c r="J13" s="1">
        <f t="shared" si="4"/>
        <v>0.84589895380095237</v>
      </c>
      <c r="K13" s="23">
        <f t="shared" si="5"/>
        <v>979.86546838508127</v>
      </c>
      <c r="L13" s="1">
        <f t="shared" si="6"/>
        <v>5.4720485606668264E-2</v>
      </c>
      <c r="M13" s="2">
        <f t="shared" si="12"/>
        <v>1073.4026361984163</v>
      </c>
      <c r="N13" s="2">
        <f t="shared" si="7"/>
        <v>635.94389610860037</v>
      </c>
      <c r="O13" s="24">
        <f t="shared" si="13"/>
        <v>2.0657896400812245E-4</v>
      </c>
    </row>
    <row r="14" spans="1:22" x14ac:dyDescent="0.25">
      <c r="A14" s="26">
        <v>12000</v>
      </c>
      <c r="B14" s="23">
        <f t="shared" si="0"/>
        <v>16.207999999999913</v>
      </c>
      <c r="C14" s="23">
        <f t="shared" si="8"/>
        <v>475.87799999999993</v>
      </c>
      <c r="D14" s="23">
        <f t="shared" si="1"/>
        <v>-8.7733333333333814</v>
      </c>
      <c r="E14" s="1">
        <f t="shared" si="9"/>
        <v>0.91749667418589853</v>
      </c>
      <c r="F14" s="1">
        <f t="shared" si="10"/>
        <v>0.63597752150186093</v>
      </c>
      <c r="G14" s="2">
        <f t="shared" si="2"/>
        <v>1345.8683505526681</v>
      </c>
      <c r="H14" s="24">
        <f t="shared" si="3"/>
        <v>1.6475724586670949E-3</v>
      </c>
      <c r="I14" s="1">
        <f t="shared" si="11"/>
        <v>0.69316602380729986</v>
      </c>
      <c r="J14" s="1">
        <f t="shared" si="4"/>
        <v>0.83256592760411463</v>
      </c>
      <c r="K14" s="23">
        <f t="shared" si="5"/>
        <v>942.15961395711804</v>
      </c>
      <c r="L14" s="1">
        <f t="shared" si="6"/>
        <v>5.3009076027662104E-2</v>
      </c>
      <c r="M14" s="2">
        <f t="shared" si="12"/>
        <v>1069.4033183497709</v>
      </c>
      <c r="N14" s="2">
        <f t="shared" si="7"/>
        <v>633.57447601526815</v>
      </c>
      <c r="O14" s="24">
        <f t="shared" si="13"/>
        <v>2.1198838275196289E-4</v>
      </c>
    </row>
    <row r="15" spans="1:22" x14ac:dyDescent="0.25">
      <c r="A15" s="26">
        <v>13000</v>
      </c>
      <c r="B15" s="23">
        <f t="shared" si="0"/>
        <v>12.641999999999939</v>
      </c>
      <c r="C15" s="23">
        <f t="shared" si="8"/>
        <v>472.31199999999995</v>
      </c>
      <c r="D15" s="23">
        <f t="shared" si="1"/>
        <v>-10.754444444444479</v>
      </c>
      <c r="E15" s="1">
        <f t="shared" si="9"/>
        <v>0.91062139703472345</v>
      </c>
      <c r="F15" s="1">
        <f t="shared" si="10"/>
        <v>0.61132423253441259</v>
      </c>
      <c r="G15" s="2">
        <f t="shared" si="2"/>
        <v>1293.6965673739744</v>
      </c>
      <c r="H15" s="24">
        <f t="shared" si="3"/>
        <v>1.5956624197037046E-3</v>
      </c>
      <c r="I15" s="1">
        <f t="shared" si="11"/>
        <v>0.67132645304083693</v>
      </c>
      <c r="J15" s="1">
        <f t="shared" si="4"/>
        <v>0.81934513670420783</v>
      </c>
      <c r="K15" s="23">
        <f t="shared" si="5"/>
        <v>905.63735895431057</v>
      </c>
      <c r="L15" s="1">
        <f t="shared" si="6"/>
        <v>5.1338919921608099E-2</v>
      </c>
      <c r="M15" s="2">
        <f t="shared" si="12"/>
        <v>1065.3889877398271</v>
      </c>
      <c r="N15" s="2">
        <f t="shared" si="7"/>
        <v>631.19616152053493</v>
      </c>
      <c r="O15" s="24">
        <f t="shared" si="13"/>
        <v>2.1757920241787638E-4</v>
      </c>
    </row>
    <row r="16" spans="1:22" x14ac:dyDescent="0.25">
      <c r="A16" s="26">
        <v>14000</v>
      </c>
      <c r="B16" s="23">
        <f t="shared" si="0"/>
        <v>9.075999999999965</v>
      </c>
      <c r="C16" s="23">
        <f t="shared" si="8"/>
        <v>468.74599999999998</v>
      </c>
      <c r="D16" s="23">
        <f t="shared" si="1"/>
        <v>-12.735555555555576</v>
      </c>
      <c r="E16" s="1">
        <f t="shared" si="9"/>
        <v>0.90374611988354836</v>
      </c>
      <c r="F16" s="1">
        <f t="shared" si="10"/>
        <v>0.58745056791668215</v>
      </c>
      <c r="G16" s="2">
        <f t="shared" si="2"/>
        <v>1243.1746408366409</v>
      </c>
      <c r="H16" s="24">
        <f t="shared" si="3"/>
        <v>1.5450130021578657E-3</v>
      </c>
      <c r="I16" s="1">
        <f t="shared" si="11"/>
        <v>0.65001725041140723</v>
      </c>
      <c r="J16" s="1">
        <f t="shared" si="4"/>
        <v>0.80623647300987766</v>
      </c>
      <c r="K16" s="23">
        <f t="shared" si="5"/>
        <v>870.27006706187728</v>
      </c>
      <c r="L16" s="1">
        <f t="shared" si="6"/>
        <v>4.9709323110056471E-2</v>
      </c>
      <c r="M16" s="2">
        <f t="shared" si="12"/>
        <v>1061.3594740223903</v>
      </c>
      <c r="N16" s="2">
        <f t="shared" si="7"/>
        <v>628.80885170176509</v>
      </c>
      <c r="O16" s="24">
        <f t="shared" si="13"/>
        <v>2.2335886782750441E-4</v>
      </c>
    </row>
    <row r="17" spans="1:15" x14ac:dyDescent="0.25">
      <c r="A17" s="26">
        <v>15000</v>
      </c>
      <c r="B17" s="23">
        <f t="shared" si="0"/>
        <v>5.5099999999999341</v>
      </c>
      <c r="C17" s="23">
        <f t="shared" si="8"/>
        <v>465.17999999999995</v>
      </c>
      <c r="D17" s="23">
        <f t="shared" si="1"/>
        <v>-14.716666666666704</v>
      </c>
      <c r="E17" s="1">
        <f t="shared" si="9"/>
        <v>0.89687084273237316</v>
      </c>
      <c r="F17" s="1">
        <f t="shared" si="10"/>
        <v>0.56433752402121995</v>
      </c>
      <c r="G17" s="2">
        <f t="shared" si="2"/>
        <v>1194.2623550841859</v>
      </c>
      <c r="H17" s="24">
        <f t="shared" si="3"/>
        <v>1.4956028339699532E-3</v>
      </c>
      <c r="I17" s="1">
        <f t="shared" si="11"/>
        <v>0.62922942427465967</v>
      </c>
      <c r="J17" s="1">
        <f t="shared" si="4"/>
        <v>0.79323982771584256</v>
      </c>
      <c r="K17" s="23">
        <f t="shared" si="5"/>
        <v>836.02958563338564</v>
      </c>
      <c r="L17" s="1">
        <f t="shared" si="6"/>
        <v>4.8119597967326434E-2</v>
      </c>
      <c r="M17" s="2">
        <f t="shared" si="12"/>
        <v>1057.3146036052262</v>
      </c>
      <c r="N17" s="2">
        <f t="shared" si="7"/>
        <v>626.41244371318783</v>
      </c>
      <c r="O17" s="24">
        <f t="shared" si="13"/>
        <v>2.2933518639972562E-4</v>
      </c>
    </row>
    <row r="18" spans="1:15" x14ac:dyDescent="0.25">
      <c r="A18" s="26">
        <v>16000</v>
      </c>
      <c r="B18" s="23">
        <f t="shared" si="0"/>
        <v>1.94399999999996</v>
      </c>
      <c r="C18" s="23">
        <f t="shared" si="8"/>
        <v>461.61399999999998</v>
      </c>
      <c r="D18" s="23">
        <f t="shared" si="1"/>
        <v>-16.697777777777802</v>
      </c>
      <c r="E18" s="1">
        <f t="shared" si="9"/>
        <v>0.88999556558119808</v>
      </c>
      <c r="F18" s="1">
        <f t="shared" si="10"/>
        <v>0.54196642061334988</v>
      </c>
      <c r="G18" s="2">
        <f t="shared" si="2"/>
        <v>1146.9201786303831</v>
      </c>
      <c r="H18" s="24">
        <f t="shared" si="3"/>
        <v>1.4474107463515583E-3</v>
      </c>
      <c r="I18" s="1">
        <f t="shared" si="11"/>
        <v>0.60895406850642786</v>
      </c>
      <c r="J18" s="1">
        <f t="shared" si="4"/>
        <v>0.78035509129269343</v>
      </c>
      <c r="K18" s="23">
        <f t="shared" si="5"/>
        <v>802.88824110790631</v>
      </c>
      <c r="L18" s="1">
        <f t="shared" si="6"/>
        <v>4.656906340779516E-2</v>
      </c>
      <c r="M18" s="2">
        <f t="shared" si="12"/>
        <v>1053.2541995627971</v>
      </c>
      <c r="N18" s="2">
        <f t="shared" si="7"/>
        <v>624.00683273419622</v>
      </c>
      <c r="O18" s="24">
        <f t="shared" si="13"/>
        <v>2.3551634864674148E-4</v>
      </c>
    </row>
    <row r="19" spans="1:15" x14ac:dyDescent="0.25">
      <c r="A19" s="26">
        <v>17000</v>
      </c>
      <c r="B19" s="23">
        <f t="shared" si="0"/>
        <v>-1.6220000000000709</v>
      </c>
      <c r="C19" s="23">
        <f t="shared" si="8"/>
        <v>458.04799999999994</v>
      </c>
      <c r="D19" s="23">
        <f t="shared" si="1"/>
        <v>-18.678888888888928</v>
      </c>
      <c r="E19" s="1">
        <f t="shared" si="9"/>
        <v>0.88312028843002288</v>
      </c>
      <c r="F19" s="1">
        <f t="shared" si="10"/>
        <v>0.52031889776366924</v>
      </c>
      <c r="G19" s="2">
        <f t="shared" si="2"/>
        <v>1101.109257825432</v>
      </c>
      <c r="H19" s="24">
        <f t="shared" si="3"/>
        <v>1.4004157733881653E-3</v>
      </c>
      <c r="I19" s="1">
        <f t="shared" si="11"/>
        <v>0.5891823623355682</v>
      </c>
      <c r="J19" s="1">
        <f t="shared" si="4"/>
        <v>0.76758215347646552</v>
      </c>
      <c r="K19" s="23">
        <f t="shared" si="5"/>
        <v>770.81883443608046</v>
      </c>
      <c r="L19" s="1">
        <f t="shared" si="6"/>
        <v>4.5057044873114259E-2</v>
      </c>
      <c r="M19" s="2">
        <f t="shared" si="12"/>
        <v>1049.1780815459595</v>
      </c>
      <c r="N19" s="2">
        <f t="shared" si="7"/>
        <v>621.59191191584728</v>
      </c>
      <c r="O19" s="24">
        <f t="shared" si="13"/>
        <v>2.4191094999224328E-4</v>
      </c>
    </row>
    <row r="20" spans="1:15" x14ac:dyDescent="0.25">
      <c r="A20" s="26">
        <v>18000</v>
      </c>
      <c r="B20" s="23">
        <f t="shared" si="0"/>
        <v>-5.188000000000045</v>
      </c>
      <c r="C20" s="23">
        <f t="shared" si="8"/>
        <v>454.48199999999997</v>
      </c>
      <c r="D20" s="23">
        <f t="shared" si="1"/>
        <v>-20.660000000000025</v>
      </c>
      <c r="E20" s="1">
        <f t="shared" si="9"/>
        <v>0.8762450112788478</v>
      </c>
      <c r="F20" s="1">
        <f t="shared" si="10"/>
        <v>0.49937691276661378</v>
      </c>
      <c r="G20" s="2">
        <f t="shared" si="2"/>
        <v>1056.7914103349633</v>
      </c>
      <c r="H20" s="24">
        <f t="shared" si="3"/>
        <v>1.3545971516395689E-3</v>
      </c>
      <c r="I20" s="1">
        <f t="shared" si="11"/>
        <v>0.56990557017584764</v>
      </c>
      <c r="J20" s="1">
        <f t="shared" si="4"/>
        <v>0.75492090325798211</v>
      </c>
      <c r="K20" s="23">
        <f t="shared" si="5"/>
        <v>739.79463651517358</v>
      </c>
      <c r="L20" s="1">
        <f t="shared" si="6"/>
        <v>4.3582874319353621E-2</v>
      </c>
      <c r="M20" s="2">
        <f t="shared" si="12"/>
        <v>1045.0860656884925</v>
      </c>
      <c r="N20" s="2">
        <f t="shared" si="7"/>
        <v>619.16757232548434</v>
      </c>
      <c r="O20" s="24">
        <f t="shared" si="13"/>
        <v>2.4852801400769315E-4</v>
      </c>
    </row>
    <row r="21" spans="1:15" x14ac:dyDescent="0.25">
      <c r="A21" s="26">
        <v>19000</v>
      </c>
      <c r="B21" s="23">
        <f t="shared" si="0"/>
        <v>-8.7540000000000759</v>
      </c>
      <c r="C21" s="23">
        <f t="shared" si="8"/>
        <v>450.91599999999994</v>
      </c>
      <c r="D21" s="23">
        <f t="shared" si="1"/>
        <v>-22.641111111111154</v>
      </c>
      <c r="E21" s="1">
        <f t="shared" si="9"/>
        <v>0.8693697341276726</v>
      </c>
      <c r="F21" s="1">
        <f t="shared" si="10"/>
        <v>0.47912273706510911</v>
      </c>
      <c r="G21" s="2">
        <f t="shared" si="2"/>
        <v>1013.9291186319251</v>
      </c>
      <c r="H21" s="24">
        <f t="shared" si="3"/>
        <v>1.3099343197379744E-3</v>
      </c>
      <c r="I21" s="1">
        <f t="shared" si="11"/>
        <v>0.55111504145685708</v>
      </c>
      <c r="J21" s="1">
        <f t="shared" si="4"/>
        <v>0.74237122887195528</v>
      </c>
      <c r="K21" s="23">
        <f t="shared" si="5"/>
        <v>709.78938363314478</v>
      </c>
      <c r="L21" s="1">
        <f t="shared" si="6"/>
        <v>4.2145890204070661E-2</v>
      </c>
      <c r="M21" s="2">
        <f t="shared" si="12"/>
        <v>1040.9779645103174</v>
      </c>
      <c r="N21" s="2">
        <f t="shared" si="7"/>
        <v>616.73370288939873</v>
      </c>
      <c r="O21" s="24">
        <f t="shared" si="13"/>
        <v>2.5537701717053018E-4</v>
      </c>
    </row>
    <row r="22" spans="1:15" x14ac:dyDescent="0.25">
      <c r="A22" s="26">
        <v>20000</v>
      </c>
      <c r="B22" s="23">
        <f t="shared" si="0"/>
        <v>-12.32000000000005</v>
      </c>
      <c r="C22" s="23">
        <f t="shared" si="8"/>
        <v>447.34999999999997</v>
      </c>
      <c r="D22" s="23">
        <f t="shared" si="1"/>
        <v>-24.622222222222252</v>
      </c>
      <c r="E22" s="1">
        <f t="shared" si="9"/>
        <v>0.86249445697649763</v>
      </c>
      <c r="F22" s="1">
        <f t="shared" si="10"/>
        <v>0.45953895318135607</v>
      </c>
      <c r="G22" s="2">
        <f t="shared" si="2"/>
        <v>972.48552350144928</v>
      </c>
      <c r="H22" s="24">
        <f t="shared" si="3"/>
        <v>1.2664069179837817E-3</v>
      </c>
      <c r="I22" s="1">
        <f t="shared" si="11"/>
        <v>0.53280221045394871</v>
      </c>
      <c r="J22" s="1">
        <f t="shared" si="4"/>
        <v>0.72993301778584363</v>
      </c>
      <c r="K22" s="23">
        <f t="shared" si="5"/>
        <v>680.7772729218035</v>
      </c>
      <c r="L22" s="1">
        <f t="shared" si="6"/>
        <v>4.0745437473305023E-2</v>
      </c>
      <c r="M22" s="2">
        <f t="shared" si="12"/>
        <v>1036.8535868172689</v>
      </c>
      <c r="N22" s="2">
        <f t="shared" si="7"/>
        <v>614.29019033344878</v>
      </c>
      <c r="O22" s="24">
        <f t="shared" si="13"/>
        <v>2.6246791525657491E-4</v>
      </c>
    </row>
    <row r="23" spans="1:15" x14ac:dyDescent="0.25">
      <c r="A23" s="26">
        <v>21000</v>
      </c>
      <c r="B23" s="23">
        <f t="shared" si="0"/>
        <v>-15.886000000000024</v>
      </c>
      <c r="C23" s="23">
        <f t="shared" si="8"/>
        <v>443.78399999999999</v>
      </c>
      <c r="D23" s="23">
        <f t="shared" si="1"/>
        <v>-26.603333333333349</v>
      </c>
      <c r="E23" s="1">
        <f t="shared" si="9"/>
        <v>0.85561917982532254</v>
      </c>
      <c r="F23" s="1">
        <f t="shared" si="10"/>
        <v>0.44060845165377316</v>
      </c>
      <c r="G23" s="2">
        <f t="shared" si="2"/>
        <v>932.42441755874779</v>
      </c>
      <c r="H23" s="24">
        <f t="shared" si="3"/>
        <v>1.2239947879389809E-3</v>
      </c>
      <c r="I23" s="1">
        <f t="shared" si="11"/>
        <v>0.51495859611717076</v>
      </c>
      <c r="J23" s="1">
        <f t="shared" si="4"/>
        <v>0.71760615668845174</v>
      </c>
      <c r="K23" s="23">
        <f t="shared" si="5"/>
        <v>652.73295781908814</v>
      </c>
      <c r="L23" s="1">
        <f t="shared" si="6"/>
        <v>3.9380867548496505E-2</v>
      </c>
      <c r="M23" s="2">
        <f t="shared" si="12"/>
        <v>1032.7127375972602</v>
      </c>
      <c r="N23" s="2">
        <f t="shared" si="7"/>
        <v>611.83691912154188</v>
      </c>
      <c r="O23" s="24">
        <f t="shared" si="13"/>
        <v>2.6981117148813734E-4</v>
      </c>
    </row>
    <row r="24" spans="1:15" x14ac:dyDescent="0.25">
      <c r="A24" s="26">
        <v>22000</v>
      </c>
      <c r="B24" s="23">
        <f t="shared" si="0"/>
        <v>-19.452000000000055</v>
      </c>
      <c r="C24" s="23">
        <f t="shared" si="8"/>
        <v>440.21799999999996</v>
      </c>
      <c r="D24" s="23">
        <f t="shared" si="1"/>
        <v>-28.584444444444475</v>
      </c>
      <c r="E24" s="1">
        <f t="shared" si="9"/>
        <v>0.84874390267414734</v>
      </c>
      <c r="F24" s="1">
        <f t="shared" si="10"/>
        <v>0.42231442798014546</v>
      </c>
      <c r="G24" s="2">
        <f t="shared" si="2"/>
        <v>893.7102387801433</v>
      </c>
      <c r="H24" s="24">
        <f t="shared" si="3"/>
        <v>1.1826779720181706E-3</v>
      </c>
      <c r="I24" s="1">
        <f t="shared" si="11"/>
        <v>0.49757580189920003</v>
      </c>
      <c r="J24" s="1">
        <f t="shared" si="4"/>
        <v>0.70539053147827269</v>
      </c>
      <c r="K24" s="23">
        <f t="shared" si="5"/>
        <v>625.63154354053802</v>
      </c>
      <c r="L24" s="1">
        <f t="shared" si="6"/>
        <v>3.8051538313326465E-2</v>
      </c>
      <c r="M24" s="2">
        <f t="shared" si="12"/>
        <v>1028.5552179126889</v>
      </c>
      <c r="N24" s="2">
        <f t="shared" si="7"/>
        <v>609.37377139188993</v>
      </c>
      <c r="O24" s="24">
        <f t="shared" si="13"/>
        <v>2.7741778656940229E-4</v>
      </c>
    </row>
    <row r="25" spans="1:15" x14ac:dyDescent="0.25">
      <c r="A25" s="26">
        <v>23000</v>
      </c>
      <c r="B25" s="23">
        <f t="shared" si="0"/>
        <v>-23.018000000000086</v>
      </c>
      <c r="C25" s="23">
        <f t="shared" si="8"/>
        <v>436.65199999999993</v>
      </c>
      <c r="D25" s="23">
        <f t="shared" si="1"/>
        <v>-30.565555555555605</v>
      </c>
      <c r="E25" s="1">
        <f t="shared" si="9"/>
        <v>0.84186862552297215</v>
      </c>
      <c r="F25" s="1">
        <f t="shared" si="10"/>
        <v>0.40464037956700688</v>
      </c>
      <c r="G25" s="2">
        <f t="shared" si="2"/>
        <v>856.30806404729117</v>
      </c>
      <c r="H25" s="24">
        <f t="shared" si="3"/>
        <v>1.1424367130771322E-3</v>
      </c>
      <c r="I25" s="1">
        <f t="shared" si="11"/>
        <v>0.48064551558224738</v>
      </c>
      <c r="J25" s="1">
        <f t="shared" si="4"/>
        <v>0.69328602725155752</v>
      </c>
      <c r="K25" s="23">
        <f t="shared" si="5"/>
        <v>599.44858256000066</v>
      </c>
      <c r="L25" s="1">
        <f t="shared" si="6"/>
        <v>3.675681410048056E-2</v>
      </c>
      <c r="M25" s="2">
        <f t="shared" si="12"/>
        <v>1024.3808247889115</v>
      </c>
      <c r="N25" s="2">
        <f t="shared" si="7"/>
        <v>606.90062689093565</v>
      </c>
      <c r="O25" s="24">
        <f t="shared" si="13"/>
        <v>2.8529933075165315E-4</v>
      </c>
    </row>
    <row r="26" spans="1:15" x14ac:dyDescent="0.25">
      <c r="A26" s="26">
        <v>24000</v>
      </c>
      <c r="B26" s="23">
        <f t="shared" si="0"/>
        <v>-26.58400000000006</v>
      </c>
      <c r="C26" s="23">
        <f t="shared" si="8"/>
        <v>433.08599999999996</v>
      </c>
      <c r="D26" s="23">
        <f t="shared" si="1"/>
        <v>-32.546666666666702</v>
      </c>
      <c r="E26" s="1">
        <f t="shared" si="9"/>
        <v>0.83499334837179706</v>
      </c>
      <c r="F26" s="1">
        <f t="shared" si="10"/>
        <v>0.38757010268529646</v>
      </c>
      <c r="G26" s="2">
        <f t="shared" si="2"/>
        <v>820.18360270467804</v>
      </c>
      <c r="H26" s="24">
        <f t="shared" si="3"/>
        <v>1.1032514539989387E-3</v>
      </c>
      <c r="I26" s="1">
        <f t="shared" si="11"/>
        <v>0.46415950910392562</v>
      </c>
      <c r="J26" s="1">
        <f t="shared" si="4"/>
        <v>0.68129252829010656</v>
      </c>
      <c r="K26" s="23">
        <f t="shared" si="5"/>
        <v>574.16007009963323</v>
      </c>
      <c r="L26" s="1">
        <f t="shared" si="6"/>
        <v>3.5496065678332224E-2</v>
      </c>
      <c r="M26" s="2">
        <f t="shared" si="12"/>
        <v>1020.1893510986098</v>
      </c>
      <c r="N26" s="2">
        <f t="shared" si="7"/>
        <v>604.41736290484425</v>
      </c>
      <c r="O26" s="24">
        <f t="shared" si="13"/>
        <v>2.9346797808290324E-4</v>
      </c>
    </row>
    <row r="27" spans="1:15" x14ac:dyDescent="0.25">
      <c r="A27" s="26">
        <v>25000</v>
      </c>
      <c r="B27" s="23">
        <f t="shared" si="0"/>
        <v>-30.150000000000034</v>
      </c>
      <c r="C27" s="23">
        <f t="shared" si="8"/>
        <v>429.52</v>
      </c>
      <c r="D27" s="23">
        <f t="shared" si="1"/>
        <v>-34.5277777777778</v>
      </c>
      <c r="E27" s="1">
        <f t="shared" si="9"/>
        <v>0.82811807122062198</v>
      </c>
      <c r="F27" s="1">
        <f t="shared" si="10"/>
        <v>0.3710876894323264</v>
      </c>
      <c r="G27" s="2">
        <f t="shared" si="2"/>
        <v>785.30319013047767</v>
      </c>
      <c r="H27" s="24">
        <f t="shared" si="3"/>
        <v>1.0651028372775637E-3</v>
      </c>
      <c r="I27" s="1">
        <f t="shared" si="11"/>
        <v>0.44810963838206541</v>
      </c>
      <c r="J27" s="1">
        <f t="shared" si="4"/>
        <v>0.66940991804877337</v>
      </c>
      <c r="K27" s="23">
        <f t="shared" si="5"/>
        <v>549.74243962925425</v>
      </c>
      <c r="L27" s="1">
        <f t="shared" si="6"/>
        <v>3.4268670237545658E-2</v>
      </c>
      <c r="M27" s="2">
        <f t="shared" si="12"/>
        <v>1015.9805854418648</v>
      </c>
      <c r="N27" s="2">
        <f t="shared" si="7"/>
        <v>601.92385418845265</v>
      </c>
      <c r="O27" s="24">
        <f t="shared" si="13"/>
        <v>3.0193654300962077E-4</v>
      </c>
    </row>
    <row r="28" spans="1:15" x14ac:dyDescent="0.25">
      <c r="A28" s="26">
        <v>26000</v>
      </c>
      <c r="B28" s="23">
        <f t="shared" si="0"/>
        <v>-33.716000000000065</v>
      </c>
      <c r="C28" s="23">
        <f t="shared" si="8"/>
        <v>425.95399999999995</v>
      </c>
      <c r="D28" s="23">
        <f t="shared" si="1"/>
        <v>-36.508888888888926</v>
      </c>
      <c r="E28" s="1">
        <f t="shared" si="9"/>
        <v>0.82124279406944678</v>
      </c>
      <c r="F28" s="1">
        <f t="shared" si="10"/>
        <v>0.35517752470010078</v>
      </c>
      <c r="G28" s="2">
        <f t="shared" si="2"/>
        <v>751.63378132084722</v>
      </c>
      <c r="H28" s="24">
        <f t="shared" si="3"/>
        <v>1.0279717045989522E-3</v>
      </c>
      <c r="I28" s="1">
        <f t="shared" si="11"/>
        <v>0.432487843138464</v>
      </c>
      <c r="J28" s="1">
        <f t="shared" si="4"/>
        <v>0.65763807914267247</v>
      </c>
      <c r="K28" s="23">
        <f t="shared" si="5"/>
        <v>526.17255837510368</v>
      </c>
      <c r="L28" s="1">
        <f t="shared" si="6"/>
        <v>3.307401137759719E-2</v>
      </c>
      <c r="M28" s="2">
        <f t="shared" si="12"/>
        <v>1011.7543120217408</v>
      </c>
      <c r="N28" s="2">
        <f t="shared" si="7"/>
        <v>599.4199728915587</v>
      </c>
      <c r="O28" s="24">
        <f t="shared" si="13"/>
        <v>3.1071851951258831E-4</v>
      </c>
    </row>
    <row r="29" spans="1:15" x14ac:dyDescent="0.25">
      <c r="A29" s="26">
        <v>27000</v>
      </c>
      <c r="B29" s="23">
        <f t="shared" si="0"/>
        <v>-37.282000000000039</v>
      </c>
      <c r="C29" s="23">
        <f t="shared" si="8"/>
        <v>422.38799999999998</v>
      </c>
      <c r="D29" s="23">
        <f t="shared" si="1"/>
        <v>-38.490000000000023</v>
      </c>
      <c r="E29" s="1">
        <f t="shared" si="9"/>
        <v>0.81436751691827181</v>
      </c>
      <c r="F29" s="1">
        <f t="shared" si="10"/>
        <v>0.33982428315002428</v>
      </c>
      <c r="G29" s="2">
        <f t="shared" si="2"/>
        <v>719.14294448774433</v>
      </c>
      <c r="H29" s="24">
        <f t="shared" si="3"/>
        <v>9.9183909641952341E-4</v>
      </c>
      <c r="I29" s="1">
        <f t="shared" si="11"/>
        <v>0.4172861467215524</v>
      </c>
      <c r="J29" s="1">
        <f t="shared" si="4"/>
        <v>0.64597689333408237</v>
      </c>
      <c r="K29" s="23">
        <f t="shared" si="5"/>
        <v>503.42772283806949</v>
      </c>
      <c r="L29" s="1">
        <f t="shared" si="6"/>
        <v>3.1911479093214012E-2</v>
      </c>
      <c r="M29" s="2">
        <f t="shared" si="12"/>
        <v>1007.5103105151719</v>
      </c>
      <c r="N29" s="2">
        <f t="shared" si="7"/>
        <v>596.90558848242699</v>
      </c>
      <c r="O29" s="24">
        <f t="shared" si="13"/>
        <v>3.1982812297463718E-4</v>
      </c>
    </row>
    <row r="30" spans="1:15" x14ac:dyDescent="0.25">
      <c r="A30" s="26">
        <v>28000</v>
      </c>
      <c r="B30" s="23">
        <f t="shared" si="0"/>
        <v>-40.84800000000007</v>
      </c>
      <c r="C30" s="23">
        <f t="shared" si="8"/>
        <v>418.82199999999995</v>
      </c>
      <c r="D30" s="23">
        <f t="shared" si="1"/>
        <v>-40.471111111111149</v>
      </c>
      <c r="E30" s="1">
        <f t="shared" si="9"/>
        <v>0.80749223976709661</v>
      </c>
      <c r="F30" s="1">
        <f t="shared" si="10"/>
        <v>0.32501292619403466</v>
      </c>
      <c r="G30" s="2">
        <f t="shared" si="2"/>
        <v>687.79885467034001</v>
      </c>
      <c r="H30" s="24">
        <f t="shared" si="3"/>
        <v>9.5668625154204901E-4</v>
      </c>
      <c r="I30" s="1">
        <f t="shared" si="11"/>
        <v>0.40249665592795975</v>
      </c>
      <c r="J30" s="1">
        <f t="shared" si="4"/>
        <v>0.63442624151902771</v>
      </c>
      <c r="K30" s="23">
        <f t="shared" si="5"/>
        <v>481.48565432143022</v>
      </c>
      <c r="L30" s="1">
        <f t="shared" si="6"/>
        <v>3.0780469760728457E-2</v>
      </c>
      <c r="M30" s="2">
        <f t="shared" si="12"/>
        <v>1003.2483559389319</v>
      </c>
      <c r="N30" s="2">
        <f t="shared" si="7"/>
        <v>594.38056766838179</v>
      </c>
      <c r="O30" s="24">
        <f t="shared" si="13"/>
        <v>3.2928033499522719E-4</v>
      </c>
    </row>
    <row r="31" spans="1:15" x14ac:dyDescent="0.25">
      <c r="A31" s="26">
        <v>29000</v>
      </c>
      <c r="B31" s="23">
        <f t="shared" si="0"/>
        <v>-44.414000000000044</v>
      </c>
      <c r="C31" s="23">
        <f t="shared" si="8"/>
        <v>415.25599999999997</v>
      </c>
      <c r="D31" s="23">
        <f t="shared" si="1"/>
        <v>-42.452222222222247</v>
      </c>
      <c r="E31" s="1">
        <f t="shared" si="9"/>
        <v>0.80061696261592152</v>
      </c>
      <c r="F31" s="1">
        <f t="shared" si="10"/>
        <v>0.31072869898221023</v>
      </c>
      <c r="G31" s="2">
        <f t="shared" si="2"/>
        <v>657.57028736013285</v>
      </c>
      <c r="H31" s="24">
        <f t="shared" si="3"/>
        <v>9.2249460668889947E-4</v>
      </c>
      <c r="I31" s="1">
        <f t="shared" si="11"/>
        <v>0.38811156082296938</v>
      </c>
      <c r="J31" s="1">
        <f t="shared" si="4"/>
        <v>0.62298600371354196</v>
      </c>
      <c r="K31" s="23">
        <f t="shared" si="5"/>
        <v>460.32449446819021</v>
      </c>
      <c r="L31" s="1">
        <f t="shared" si="6"/>
        <v>2.9680386124347612E-2</v>
      </c>
      <c r="M31" s="2">
        <f t="shared" si="12"/>
        <v>998.96821851045968</v>
      </c>
      <c r="N31" s="2">
        <f t="shared" si="7"/>
        <v>591.84477431335245</v>
      </c>
      <c r="O31" s="24">
        <f t="shared" si="13"/>
        <v>3.3909095138566687E-4</v>
      </c>
    </row>
    <row r="32" spans="1:15" x14ac:dyDescent="0.25">
      <c r="A32" s="26">
        <v>30000</v>
      </c>
      <c r="B32" s="23">
        <f t="shared" si="0"/>
        <v>-47.980000000000075</v>
      </c>
      <c r="C32" s="23">
        <f t="shared" si="8"/>
        <v>411.68999999999994</v>
      </c>
      <c r="D32" s="23">
        <f t="shared" si="1"/>
        <v>-44.43333333333338</v>
      </c>
      <c r="E32" s="1">
        <f t="shared" si="9"/>
        <v>0.79374168546474633</v>
      </c>
      <c r="F32" s="1">
        <f t="shared" si="10"/>
        <v>0.29695712739687946</v>
      </c>
      <c r="G32" s="2">
        <f t="shared" si="2"/>
        <v>628.42661213982421</v>
      </c>
      <c r="H32" s="24">
        <f t="shared" si="3"/>
        <v>8.8924579607258642E-4</v>
      </c>
      <c r="I32" s="1">
        <f t="shared" si="11"/>
        <v>0.37412313455983742</v>
      </c>
      <c r="J32" s="1">
        <f t="shared" si="4"/>
        <v>0.61165605903958598</v>
      </c>
      <c r="K32" s="23">
        <f t="shared" si="5"/>
        <v>439.9228008080471</v>
      </c>
      <c r="L32" s="1">
        <f t="shared" si="6"/>
        <v>2.8610637282335923E-2</v>
      </c>
      <c r="M32" s="2">
        <f t="shared" si="12"/>
        <v>994.66966350329255</v>
      </c>
      <c r="N32" s="2">
        <f t="shared" si="7"/>
        <v>589.29806935222393</v>
      </c>
      <c r="O32" s="24">
        <f t="shared" si="13"/>
        <v>3.4927663359950574E-4</v>
      </c>
    </row>
    <row r="33" spans="1:15" x14ac:dyDescent="0.25">
      <c r="A33" s="26">
        <v>31000</v>
      </c>
      <c r="B33" s="23">
        <f t="shared" si="0"/>
        <v>-51.546000000000049</v>
      </c>
      <c r="C33" s="23">
        <f t="shared" si="8"/>
        <v>408.12399999999997</v>
      </c>
      <c r="D33" s="23">
        <f t="shared" si="1"/>
        <v>-46.414444444444477</v>
      </c>
      <c r="E33" s="1">
        <f t="shared" si="9"/>
        <v>0.78686640831357124</v>
      </c>
      <c r="F33" s="1">
        <f t="shared" si="10"/>
        <v>0.28368401505328583</v>
      </c>
      <c r="G33" s="2">
        <f t="shared" si="2"/>
        <v>600.33778633606448</v>
      </c>
      <c r="H33" s="24">
        <f t="shared" si="3"/>
        <v>8.5692165096358779E-4</v>
      </c>
      <c r="I33" s="1">
        <f t="shared" si="11"/>
        <v>0.36052373319796865</v>
      </c>
      <c r="J33" s="1">
        <f t="shared" si="4"/>
        <v>0.6004362857106228</v>
      </c>
      <c r="K33" s="23">
        <f t="shared" si="5"/>
        <v>420.25954231407053</v>
      </c>
      <c r="L33" s="1">
        <f t="shared" si="6"/>
        <v>2.7570638673110378E-2</v>
      </c>
      <c r="M33" s="2">
        <f t="shared" si="12"/>
        <v>990.35245109685331</v>
      </c>
      <c r="N33" s="2">
        <f t="shared" si="7"/>
        <v>586.74031070184196</v>
      </c>
      <c r="O33" s="24">
        <f t="shared" si="13"/>
        <v>3.5985496387529761E-4</v>
      </c>
    </row>
    <row r="34" spans="1:15" x14ac:dyDescent="0.25">
      <c r="A34" s="26">
        <v>32000</v>
      </c>
      <c r="B34" s="23">
        <f t="shared" si="0"/>
        <v>-55.112000000000023</v>
      </c>
      <c r="C34" s="23">
        <f t="shared" si="8"/>
        <v>404.55799999999999</v>
      </c>
      <c r="D34" s="23">
        <f t="shared" si="1"/>
        <v>-48.395555555555568</v>
      </c>
      <c r="E34" s="1">
        <f t="shared" si="9"/>
        <v>0.77999113116239616</v>
      </c>
      <c r="F34" s="1">
        <f t="shared" si="10"/>
        <v>0.27089544030684098</v>
      </c>
      <c r="G34" s="2">
        <f t="shared" si="2"/>
        <v>573.27434868614296</v>
      </c>
      <c r="H34" s="24">
        <f t="shared" si="3"/>
        <v>8.2550419925539573E-4</v>
      </c>
      <c r="I34" s="1">
        <f t="shared" si="11"/>
        <v>0.34730579551992347</v>
      </c>
      <c r="J34" s="1">
        <f t="shared" si="4"/>
        <v>0.58932656101683001</v>
      </c>
      <c r="K34" s="23">
        <f t="shared" si="5"/>
        <v>401.31409496914114</v>
      </c>
      <c r="L34" s="1">
        <f t="shared" si="6"/>
        <v>2.6559812061246343E-2</v>
      </c>
      <c r="M34" s="2">
        <f t="shared" si="12"/>
        <v>986.01633622031693</v>
      </c>
      <c r="N34" s="2">
        <f t="shared" si="7"/>
        <v>584.17135316851113</v>
      </c>
      <c r="O34" s="24">
        <f t="shared" si="13"/>
        <v>3.7084450439394632E-4</v>
      </c>
    </row>
    <row r="35" spans="1:15" x14ac:dyDescent="0.25">
      <c r="A35" s="26">
        <v>33000</v>
      </c>
      <c r="B35" s="23">
        <f t="shared" si="0"/>
        <v>-58.678000000000054</v>
      </c>
      <c r="C35" s="23">
        <f t="shared" si="8"/>
        <v>400.99199999999996</v>
      </c>
      <c r="D35" s="23">
        <f t="shared" si="1"/>
        <v>-50.376666666666701</v>
      </c>
      <c r="E35" s="1">
        <f t="shared" si="9"/>
        <v>0.77311585401122096</v>
      </c>
      <c r="F35" s="1">
        <f t="shared" si="10"/>
        <v>0.25857775326701377</v>
      </c>
      <c r="G35" s="2">
        <f t="shared" si="2"/>
        <v>547.20741301871988</v>
      </c>
      <c r="H35" s="24">
        <f t="shared" si="3"/>
        <v>7.9497566502675725E-4</v>
      </c>
      <c r="I35" s="1">
        <f t="shared" si="11"/>
        <v>0.33446184284724395</v>
      </c>
      <c r="J35" s="1">
        <f t="shared" si="4"/>
        <v>0.57832676130993965</v>
      </c>
      <c r="K35" s="23">
        <f t="shared" si="5"/>
        <v>383.06623734221984</v>
      </c>
      <c r="L35" s="1">
        <f t="shared" si="6"/>
        <v>2.5577585523393072E-2</v>
      </c>
      <c r="M35" s="2">
        <f t="shared" si="12"/>
        <v>981.66106839027111</v>
      </c>
      <c r="N35" s="2">
        <f t="shared" si="7"/>
        <v>581.59104835181631</v>
      </c>
      <c r="O35" s="24">
        <f t="shared" si="13"/>
        <v>3.8226486078022482E-4</v>
      </c>
    </row>
    <row r="36" spans="1:15" x14ac:dyDescent="0.25">
      <c r="A36" s="26">
        <v>34000</v>
      </c>
      <c r="B36" s="23">
        <f t="shared" si="0"/>
        <v>-62.244000000000085</v>
      </c>
      <c r="C36" s="23">
        <f t="shared" si="8"/>
        <v>397.42599999999993</v>
      </c>
      <c r="D36" s="23">
        <f t="shared" si="1"/>
        <v>-52.357777777777827</v>
      </c>
      <c r="E36" s="1">
        <f t="shared" si="9"/>
        <v>0.76624057686004576</v>
      </c>
      <c r="F36" s="1">
        <f t="shared" si="10"/>
        <v>0.24671757281789716</v>
      </c>
      <c r="G36" s="2">
        <f t="shared" si="2"/>
        <v>522.10866194869027</v>
      </c>
      <c r="H36" s="24">
        <f t="shared" si="3"/>
        <v>7.6531846810106092E-4</v>
      </c>
      <c r="I36" s="1">
        <f t="shared" si="11"/>
        <v>0.3219844788550793</v>
      </c>
      <c r="J36" s="1">
        <f t="shared" si="4"/>
        <v>0.56743676198769433</v>
      </c>
      <c r="K36" s="23">
        <f t="shared" si="5"/>
        <v>365.49614617451061</v>
      </c>
      <c r="L36" s="1">
        <f t="shared" si="6"/>
        <v>2.4623393434097387E-2</v>
      </c>
      <c r="M36" s="2">
        <f t="shared" si="12"/>
        <v>977.28639154186544</v>
      </c>
      <c r="N36" s="2">
        <f t="shared" si="7"/>
        <v>578.99924454458494</v>
      </c>
      <c r="O36" s="24">
        <f t="shared" si="13"/>
        <v>3.941367503083253E-4</v>
      </c>
    </row>
    <row r="37" spans="1:15" x14ac:dyDescent="0.25">
      <c r="A37" s="26">
        <v>35000</v>
      </c>
      <c r="B37" s="23">
        <f t="shared" si="0"/>
        <v>-65.810000000000059</v>
      </c>
      <c r="C37" s="23">
        <f t="shared" si="8"/>
        <v>393.85999999999996</v>
      </c>
      <c r="D37" s="23">
        <f t="shared" si="1"/>
        <v>-54.338888888888924</v>
      </c>
      <c r="E37" s="1">
        <f t="shared" si="9"/>
        <v>0.75936529970887079</v>
      </c>
      <c r="F37" s="1">
        <f t="shared" si="10"/>
        <v>0.23530178364549442</v>
      </c>
      <c r="G37" s="2">
        <f t="shared" si="2"/>
        <v>497.95034058626817</v>
      </c>
      <c r="H37" s="24">
        <f t="shared" si="3"/>
        <v>7.3651522360282189E-4</v>
      </c>
      <c r="I37" s="1">
        <f t="shared" si="11"/>
        <v>0.3098663893855903</v>
      </c>
      <c r="J37" s="1">
        <f t="shared" si="4"/>
        <v>0.55665643747790283</v>
      </c>
      <c r="K37" s="23">
        <f t="shared" si="5"/>
        <v>348.58439197557652</v>
      </c>
      <c r="L37" s="1">
        <f t="shared" si="6"/>
        <v>2.3696676451534011E-2</v>
      </c>
      <c r="M37" s="2">
        <f t="shared" si="12"/>
        <v>972.89204385312564</v>
      </c>
      <c r="N37" s="2">
        <f t="shared" si="7"/>
        <v>576.39578662880194</v>
      </c>
      <c r="O37" s="24">
        <f t="shared" si="13"/>
        <v>4.064820752044805E-4</v>
      </c>
    </row>
    <row r="38" spans="1:15" s="32" customFormat="1" x14ac:dyDescent="0.25">
      <c r="A38" s="27">
        <v>36000</v>
      </c>
      <c r="B38" s="28">
        <f t="shared" si="0"/>
        <v>-69.376000000000033</v>
      </c>
      <c r="C38" s="28">
        <f t="shared" si="8"/>
        <v>390.29399999999998</v>
      </c>
      <c r="D38" s="28">
        <f t="shared" ref="D38" si="14">(5/9)*(B38-32)</f>
        <v>-56.320000000000022</v>
      </c>
      <c r="E38" s="29">
        <f t="shared" ref="E38" si="15">C38/$R$2</f>
        <v>0.7524900225576957</v>
      </c>
      <c r="F38" s="29">
        <f t="shared" ref="F38" si="16">POWER(E38,5.2562)</f>
        <v>0.22431753327177126</v>
      </c>
      <c r="G38" s="30">
        <f t="shared" ref="G38" si="17">F38*$S$2</f>
        <v>474.70525026038774</v>
      </c>
      <c r="H38" s="31">
        <f t="shared" ref="H38" si="18">I38*$T$2</f>
        <v>7.0854874151122377E-4</v>
      </c>
      <c r="I38" s="29">
        <f t="shared" ref="I38" si="19">F38/E38</f>
        <v>0.29810034226011567</v>
      </c>
      <c r="J38" s="29">
        <f t="shared" ref="J38" si="20">SQRT(I38)</f>
        <v>0.54598566122208347</v>
      </c>
      <c r="K38" s="28">
        <f t="shared" ref="K38" si="21">1481.4354*F38</f>
        <v>332.31193462947977</v>
      </c>
      <c r="L38" s="29">
        <f t="shared" ref="L38" si="22">H38*$V$2</f>
        <v>2.27968815031412E-2</v>
      </c>
      <c r="M38" s="30">
        <f t="shared" ref="M38" si="23">$U$2*SQRT(E38)</f>
        <v>968.47775756209501</v>
      </c>
      <c r="N38" s="30">
        <f t="shared" ref="N38" si="24">3600*M38/6076.4</f>
        <v>573.7805159672738</v>
      </c>
      <c r="O38" s="31">
        <f t="shared" ref="O38" si="25">(0.226968*POWER(10,-7)*POWER(C38,1.5))/(H38*(C38+198.73))</f>
        <v>4.1932400147644294E-4</v>
      </c>
    </row>
    <row r="39" spans="1:15" x14ac:dyDescent="0.25">
      <c r="A39" s="26">
        <v>36089</v>
      </c>
      <c r="B39" s="23">
        <f t="shared" ref="B39" si="26">C39-459.67</f>
        <v>-69.680000000000007</v>
      </c>
      <c r="C39" s="23">
        <v>389.99</v>
      </c>
      <c r="D39" s="23">
        <f t="shared" ref="D39" si="27">(5/9)*(B39-32)</f>
        <v>-56.488888888888894</v>
      </c>
      <c r="E39" s="1">
        <f t="shared" ref="E39" si="28">C39/$R$2</f>
        <v>0.75190390807257035</v>
      </c>
      <c r="F39" s="1">
        <f>0.223361*EXP(-0.0481*(A39-36089)/1000)</f>
        <v>0.223361</v>
      </c>
      <c r="G39" s="2">
        <f t="shared" ref="G39" si="29">F39*$S$2</f>
        <v>472.68101541999994</v>
      </c>
      <c r="H39" s="24">
        <f t="shared" ref="H39" si="30">I39*$T$2</f>
        <v>7.0607731650300159E-4</v>
      </c>
      <c r="I39" s="1">
        <f t="shared" ref="I39" si="31">F39/E39</f>
        <v>0.29706056532218772</v>
      </c>
      <c r="J39" s="1">
        <f>SQRT(I39)</f>
        <v>0.54503262775928174</v>
      </c>
      <c r="K39" s="23">
        <f t="shared" ref="K39" si="32">1481.4354*F39</f>
        <v>330.89489237940001</v>
      </c>
      <c r="L39" s="1">
        <f>H39*$V$2</f>
        <v>2.271736575530969E-2</v>
      </c>
      <c r="M39" s="2">
        <f>$U$2*SQRT(E39)</f>
        <v>968.1005104214338</v>
      </c>
      <c r="N39" s="2">
        <f t="shared" ref="N39" si="33">3600*M39/6076.4</f>
        <v>573.55701361285662</v>
      </c>
      <c r="O39" s="24">
        <f t="shared" ref="O39" si="34">(0.226968*POWER(10,-7)*POWER(C39,1.5))/(H39*(C39+198.73))</f>
        <v>4.2051722320626757E-4</v>
      </c>
    </row>
    <row r="40" spans="1:15" x14ac:dyDescent="0.25">
      <c r="A40" s="26">
        <v>37000</v>
      </c>
      <c r="B40" s="23">
        <f t="shared" si="0"/>
        <v>-69.680000000000007</v>
      </c>
      <c r="C40" s="23">
        <v>389.99</v>
      </c>
      <c r="D40" s="23">
        <f t="shared" si="1"/>
        <v>-56.488888888888894</v>
      </c>
      <c r="E40" s="1">
        <f t="shared" si="9"/>
        <v>0.75190390807257035</v>
      </c>
      <c r="F40" s="1">
        <f t="shared" ref="F40:F63" si="35">0.223361*EXP(-0.0481*(A40-36089)/1000)</f>
        <v>0.2137848630790446</v>
      </c>
      <c r="G40" s="2">
        <f t="shared" si="2"/>
        <v>452.41580294513574</v>
      </c>
      <c r="H40" s="24">
        <f t="shared" si="3"/>
        <v>6.758057245079195E-4</v>
      </c>
      <c r="I40" s="1">
        <f t="shared" si="11"/>
        <v>0.2843247132829253</v>
      </c>
      <c r="J40" s="1">
        <f t="shared" ref="J40:J63" si="36">SQRT(I40)</f>
        <v>0.53322107355479242</v>
      </c>
      <c r="K40" s="23">
        <f t="shared" si="5"/>
        <v>316.7084641494497</v>
      </c>
      <c r="L40" s="1">
        <f t="shared" si="6"/>
        <v>2.1743406089314864E-2</v>
      </c>
      <c r="M40" s="2">
        <f t="shared" si="12"/>
        <v>968.1005104214338</v>
      </c>
      <c r="N40" s="2">
        <f t="shared" si="7"/>
        <v>573.55701361285662</v>
      </c>
      <c r="O40" s="24">
        <f t="shared" si="13"/>
        <v>4.3935359192314111E-4</v>
      </c>
    </row>
    <row r="41" spans="1:15" x14ac:dyDescent="0.25">
      <c r="A41" s="26">
        <v>38000</v>
      </c>
      <c r="B41" s="23">
        <f t="shared" si="0"/>
        <v>-69.680000000000007</v>
      </c>
      <c r="C41" s="23">
        <v>389.99</v>
      </c>
      <c r="D41" s="23">
        <f t="shared" si="1"/>
        <v>-56.488888888888894</v>
      </c>
      <c r="E41" s="1">
        <f t="shared" si="9"/>
        <v>0.75190390807257035</v>
      </c>
      <c r="F41" s="1">
        <f t="shared" si="35"/>
        <v>0.20374520062755289</v>
      </c>
      <c r="G41" s="2">
        <f t="shared" si="2"/>
        <v>431.16966847203992</v>
      </c>
      <c r="H41" s="24">
        <f t="shared" si="3"/>
        <v>6.440688594224963E-4</v>
      </c>
      <c r="I41" s="1">
        <f t="shared" si="11"/>
        <v>0.27097239213695951</v>
      </c>
      <c r="J41" s="1">
        <f t="shared" si="36"/>
        <v>0.52055008609831144</v>
      </c>
      <c r="K41" s="23">
        <f t="shared" si="5"/>
        <v>301.8353527897591</v>
      </c>
      <c r="L41" s="1">
        <f t="shared" si="6"/>
        <v>2.0722302655992189E-2</v>
      </c>
      <c r="M41" s="2">
        <f t="shared" si="12"/>
        <v>968.1005104214338</v>
      </c>
      <c r="N41" s="2">
        <f t="shared" si="7"/>
        <v>573.55701361285662</v>
      </c>
      <c r="O41" s="24">
        <f t="shared" si="13"/>
        <v>4.6100299395161894E-4</v>
      </c>
    </row>
    <row r="42" spans="1:15" x14ac:dyDescent="0.25">
      <c r="A42" s="26">
        <v>39000</v>
      </c>
      <c r="B42" s="23">
        <f t="shared" si="0"/>
        <v>-69.680000000000007</v>
      </c>
      <c r="C42" s="23">
        <v>389.99</v>
      </c>
      <c r="D42" s="23">
        <f t="shared" si="1"/>
        <v>-56.488888888888894</v>
      </c>
      <c r="E42" s="1">
        <f t="shared" si="9"/>
        <v>0.75190390807257035</v>
      </c>
      <c r="F42" s="1">
        <f t="shared" si="35"/>
        <v>0.19417701600048798</v>
      </c>
      <c r="G42" s="2">
        <f t="shared" si="2"/>
        <v>410.92128480055266</v>
      </c>
      <c r="H42" s="24">
        <f t="shared" si="3"/>
        <v>6.1382240581025756E-4</v>
      </c>
      <c r="I42" s="1">
        <f t="shared" si="11"/>
        <v>0.25824711630804142</v>
      </c>
      <c r="J42" s="1">
        <f t="shared" si="36"/>
        <v>0.50818020062576363</v>
      </c>
      <c r="K42" s="23">
        <f t="shared" si="5"/>
        <v>287.66070536948934</v>
      </c>
      <c r="L42" s="1">
        <f t="shared" si="6"/>
        <v>1.9749151793543664E-2</v>
      </c>
      <c r="M42" s="2">
        <f t="shared" si="12"/>
        <v>968.1005104214338</v>
      </c>
      <c r="N42" s="2">
        <f t="shared" si="7"/>
        <v>573.55701361285662</v>
      </c>
      <c r="O42" s="24">
        <f t="shared" si="13"/>
        <v>4.8371918277052476E-4</v>
      </c>
    </row>
    <row r="43" spans="1:15" x14ac:dyDescent="0.25">
      <c r="A43" s="26">
        <v>40000</v>
      </c>
      <c r="B43" s="23">
        <f t="shared" si="0"/>
        <v>-69.680000000000007</v>
      </c>
      <c r="C43" s="23">
        <v>389.99</v>
      </c>
      <c r="D43" s="23">
        <f t="shared" si="1"/>
        <v>-56.488888888888894</v>
      </c>
      <c r="E43" s="1">
        <f t="shared" si="9"/>
        <v>0.75190390807257035</v>
      </c>
      <c r="F43" s="1">
        <f t="shared" si="35"/>
        <v>0.18505816788184448</v>
      </c>
      <c r="G43" s="2">
        <f t="shared" si="2"/>
        <v>391.62379603491689</v>
      </c>
      <c r="H43" s="24">
        <f t="shared" si="3"/>
        <v>5.849963716807083E-4</v>
      </c>
      <c r="I43" s="1">
        <f t="shared" si="11"/>
        <v>0.24611943879401077</v>
      </c>
      <c r="J43" s="1">
        <f t="shared" si="36"/>
        <v>0.49610426201959884</v>
      </c>
      <c r="K43" s="23">
        <f t="shared" si="5"/>
        <v>274.15172095930745</v>
      </c>
      <c r="L43" s="1">
        <f t="shared" si="6"/>
        <v>1.8821701576279496E-2</v>
      </c>
      <c r="M43" s="2">
        <f t="shared" si="12"/>
        <v>968.1005104214338</v>
      </c>
      <c r="N43" s="2">
        <f t="shared" si="7"/>
        <v>573.55701361285662</v>
      </c>
      <c r="O43" s="24">
        <f t="shared" si="13"/>
        <v>5.075547249151712E-4</v>
      </c>
    </row>
    <row r="44" spans="1:15" x14ac:dyDescent="0.25">
      <c r="A44" s="26">
        <v>41000</v>
      </c>
      <c r="B44" s="23">
        <f t="shared" si="0"/>
        <v>-69.680000000000007</v>
      </c>
      <c r="C44" s="23">
        <v>389.99</v>
      </c>
      <c r="D44" s="23">
        <f t="shared" si="1"/>
        <v>-56.488888888888894</v>
      </c>
      <c r="E44" s="1">
        <f t="shared" si="9"/>
        <v>0.75190390807257035</v>
      </c>
      <c r="F44" s="1">
        <f t="shared" si="35"/>
        <v>0.17636755474550533</v>
      </c>
      <c r="G44" s="2">
        <f t="shared" si="2"/>
        <v>373.23254670353327</v>
      </c>
      <c r="H44" s="24">
        <f t="shared" si="3"/>
        <v>5.5752405197372241E-4</v>
      </c>
      <c r="I44" s="1">
        <f t="shared" si="11"/>
        <v>0.23456129546873314</v>
      </c>
      <c r="J44" s="1">
        <f t="shared" si="36"/>
        <v>0.48431528519006412</v>
      </c>
      <c r="K44" s="23">
        <f t="shared" si="5"/>
        <v>261.2771390114296</v>
      </c>
      <c r="L44" s="1">
        <f t="shared" si="6"/>
        <v>1.7937805832366659E-2</v>
      </c>
      <c r="M44" s="2">
        <f t="shared" si="12"/>
        <v>968.1005104214338</v>
      </c>
      <c r="N44" s="2">
        <f t="shared" si="7"/>
        <v>573.55701361285662</v>
      </c>
      <c r="O44" s="24">
        <f t="shared" si="13"/>
        <v>5.3256477716726329E-4</v>
      </c>
    </row>
    <row r="45" spans="1:15" x14ac:dyDescent="0.25">
      <c r="A45" s="26">
        <v>42000</v>
      </c>
      <c r="B45" s="23">
        <f t="shared" si="0"/>
        <v>-69.680000000000007</v>
      </c>
      <c r="C45" s="23">
        <v>389.99</v>
      </c>
      <c r="D45" s="23">
        <f t="shared" si="1"/>
        <v>-56.488888888888894</v>
      </c>
      <c r="E45" s="1">
        <f t="shared" si="9"/>
        <v>0.75190390807257035</v>
      </c>
      <c r="F45" s="1">
        <f t="shared" si="35"/>
        <v>0.16808506602512682</v>
      </c>
      <c r="G45" s="2">
        <f t="shared" si="2"/>
        <v>355.70497842369383</v>
      </c>
      <c r="H45" s="24">
        <f t="shared" si="3"/>
        <v>5.3134187420029186E-4</v>
      </c>
      <c r="I45" s="1">
        <f t="shared" si="11"/>
        <v>0.22354594014013826</v>
      </c>
      <c r="J45" s="1">
        <f t="shared" si="36"/>
        <v>0.47280645103481644</v>
      </c>
      <c r="K45" s="23">
        <f t="shared" si="5"/>
        <v>249.00716702096017</v>
      </c>
      <c r="L45" s="1">
        <f t="shared" si="6"/>
        <v>1.7095419177466899E-2</v>
      </c>
      <c r="M45" s="2">
        <f t="shared" si="12"/>
        <v>968.1005104214338</v>
      </c>
      <c r="N45" s="2">
        <f t="shared" si="7"/>
        <v>573.55701361285662</v>
      </c>
      <c r="O45" s="24">
        <f t="shared" si="13"/>
        <v>5.5880721419078406E-4</v>
      </c>
    </row>
    <row r="46" spans="1:15" x14ac:dyDescent="0.25">
      <c r="A46" s="26">
        <v>43000</v>
      </c>
      <c r="B46" s="23">
        <f t="shared" si="0"/>
        <v>-69.680000000000007</v>
      </c>
      <c r="C46" s="23">
        <v>389.99</v>
      </c>
      <c r="D46" s="23">
        <f t="shared" si="1"/>
        <v>-56.488888888888894</v>
      </c>
      <c r="E46" s="1">
        <f t="shared" si="9"/>
        <v>0.75190390807257035</v>
      </c>
      <c r="F46" s="1">
        <f t="shared" si="35"/>
        <v>0.16019153557715946</v>
      </c>
      <c r="G46" s="2">
        <f t="shared" si="2"/>
        <v>339.00053141909638</v>
      </c>
      <c r="H46" s="24">
        <f t="shared" si="3"/>
        <v>5.0638925133221935E-4</v>
      </c>
      <c r="I46" s="1">
        <f t="shared" si="11"/>
        <v>0.2130478826580304</v>
      </c>
      <c r="J46" s="1">
        <f t="shared" si="36"/>
        <v>0.46157110249454569</v>
      </c>
      <c r="K46" s="23">
        <f t="shared" si="5"/>
        <v>237.31341158436345</v>
      </c>
      <c r="L46" s="1">
        <f t="shared" si="6"/>
        <v>1.6292592281602587E-2</v>
      </c>
      <c r="M46" s="2">
        <f t="shared" si="12"/>
        <v>968.1005104214338</v>
      </c>
      <c r="N46" s="2">
        <f t="shared" si="7"/>
        <v>573.55701361285662</v>
      </c>
      <c r="O46" s="24">
        <f t="shared" si="13"/>
        <v>5.8634276245721651E-4</v>
      </c>
    </row>
    <row r="47" spans="1:15" x14ac:dyDescent="0.25">
      <c r="A47" s="26">
        <v>44000</v>
      </c>
      <c r="B47" s="23">
        <f t="shared" si="0"/>
        <v>-69.680000000000007</v>
      </c>
      <c r="C47" s="23">
        <v>389.99</v>
      </c>
      <c r="D47" s="23">
        <f t="shared" si="1"/>
        <v>-56.488888888888894</v>
      </c>
      <c r="E47" s="1">
        <f t="shared" si="9"/>
        <v>0.75190390807257035</v>
      </c>
      <c r="F47" s="1">
        <f t="shared" si="35"/>
        <v>0.15266869732931695</v>
      </c>
      <c r="G47" s="2">
        <f t="shared" si="2"/>
        <v>323.08055066224711</v>
      </c>
      <c r="H47" s="24">
        <f t="shared" si="3"/>
        <v>4.8260844160033788E-4</v>
      </c>
      <c r="I47" s="1">
        <f t="shared" si="11"/>
        <v>0.20304282992845152</v>
      </c>
      <c r="J47" s="1">
        <f t="shared" si="36"/>
        <v>0.45060274070233031</v>
      </c>
      <c r="K47" s="23">
        <f t="shared" si="5"/>
        <v>226.16881269553559</v>
      </c>
      <c r="L47" s="1">
        <f t="shared" si="6"/>
        <v>1.5527467358297842E-2</v>
      </c>
      <c r="M47" s="2">
        <f t="shared" si="12"/>
        <v>968.1005104214338</v>
      </c>
      <c r="N47" s="2">
        <f t="shared" si="7"/>
        <v>573.55701361285662</v>
      </c>
      <c r="O47" s="24">
        <f t="shared" si="13"/>
        <v>6.1523514077000199E-4</v>
      </c>
    </row>
    <row r="48" spans="1:15" x14ac:dyDescent="0.25">
      <c r="A48" s="26">
        <v>45000</v>
      </c>
      <c r="B48" s="23">
        <f t="shared" si="0"/>
        <v>-69.680000000000007</v>
      </c>
      <c r="C48" s="23">
        <v>389.99</v>
      </c>
      <c r="D48" s="23">
        <f t="shared" si="1"/>
        <v>-56.488888888888894</v>
      </c>
      <c r="E48" s="1">
        <f t="shared" si="9"/>
        <v>0.75190390807257035</v>
      </c>
      <c r="F48" s="1">
        <f t="shared" si="35"/>
        <v>0.14549914301186007</v>
      </c>
      <c r="G48" s="2">
        <f t="shared" si="2"/>
        <v>307.90819642455847</v>
      </c>
      <c r="H48" s="24">
        <f t="shared" si="3"/>
        <v>4.5994441487681644E-4</v>
      </c>
      <c r="I48" s="1">
        <f t="shared" si="11"/>
        <v>0.19350762969809854</v>
      </c>
      <c r="J48" s="1">
        <f t="shared" si="36"/>
        <v>0.43989502122449459</v>
      </c>
      <c r="K48" s="23">
        <f t="shared" si="5"/>
        <v>215.54758112743212</v>
      </c>
      <c r="L48" s="1">
        <f t="shared" si="6"/>
        <v>1.479827386555637E-2</v>
      </c>
      <c r="M48" s="2">
        <f t="shared" si="12"/>
        <v>968.1005104214338</v>
      </c>
      <c r="N48" s="2">
        <f t="shared" si="7"/>
        <v>573.55701361285662</v>
      </c>
      <c r="O48" s="24">
        <f t="shared" si="13"/>
        <v>6.4555120771342866E-4</v>
      </c>
    </row>
    <row r="49" spans="1:15" x14ac:dyDescent="0.25">
      <c r="A49" s="26">
        <v>46000</v>
      </c>
      <c r="B49" s="23">
        <f t="shared" si="0"/>
        <v>-69.680000000000007</v>
      </c>
      <c r="C49" s="23">
        <v>389.99</v>
      </c>
      <c r="D49" s="23">
        <f t="shared" si="1"/>
        <v>-56.488888888888894</v>
      </c>
      <c r="E49" s="1">
        <f t="shared" si="9"/>
        <v>0.75190390807257035</v>
      </c>
      <c r="F49" s="1">
        <f t="shared" si="35"/>
        <v>0.13866628187388372</v>
      </c>
      <c r="G49" s="2">
        <f t="shared" si="2"/>
        <v>293.44835902715016</v>
      </c>
      <c r="H49" s="24">
        <f t="shared" si="3"/>
        <v>4.3834472533235707E-4</v>
      </c>
      <c r="I49" s="1">
        <f t="shared" si="11"/>
        <v>0.18442021697871036</v>
      </c>
      <c r="J49" s="1">
        <f t="shared" si="36"/>
        <v>0.42944175039079557</v>
      </c>
      <c r="K49" s="23">
        <f t="shared" si="5"/>
        <v>205.42513875434969</v>
      </c>
      <c r="L49" s="1">
        <f t="shared" si="6"/>
        <v>1.4103324408727962E-2</v>
      </c>
      <c r="M49" s="2">
        <f t="shared" si="12"/>
        <v>968.1005104214338</v>
      </c>
      <c r="N49" s="2">
        <f t="shared" si="7"/>
        <v>573.55701361285662</v>
      </c>
      <c r="O49" s="24">
        <f t="shared" si="13"/>
        <v>6.7736111636714554E-4</v>
      </c>
    </row>
    <row r="50" spans="1:15" x14ac:dyDescent="0.25">
      <c r="A50" s="26">
        <v>47000</v>
      </c>
      <c r="B50" s="23">
        <f t="shared" si="0"/>
        <v>-69.680000000000007</v>
      </c>
      <c r="C50" s="23">
        <v>389.99</v>
      </c>
      <c r="D50" s="23">
        <f t="shared" si="1"/>
        <v>-56.488888888888894</v>
      </c>
      <c r="E50" s="1">
        <f t="shared" si="9"/>
        <v>0.75190390807257035</v>
      </c>
      <c r="F50" s="1">
        <f t="shared" si="35"/>
        <v>0.13215430229138886</v>
      </c>
      <c r="G50" s="2">
        <f t="shared" si="2"/>
        <v>279.66757759508289</v>
      </c>
      <c r="H50" s="24">
        <f t="shared" si="3"/>
        <v>4.1775939007360419E-4</v>
      </c>
      <c r="I50" s="1">
        <f t="shared" si="11"/>
        <v>0.17575956298744749</v>
      </c>
      <c r="J50" s="1">
        <f t="shared" si="36"/>
        <v>0.41923688171181633</v>
      </c>
      <c r="K50" s="23">
        <f t="shared" si="5"/>
        <v>195.77806167676459</v>
      </c>
      <c r="L50" s="1">
        <f t="shared" si="6"/>
        <v>1.344101083578262E-2</v>
      </c>
      <c r="M50" s="2">
        <f t="shared" si="12"/>
        <v>968.1005104214338</v>
      </c>
      <c r="N50" s="2">
        <f t="shared" si="7"/>
        <v>573.55701361285662</v>
      </c>
      <c r="O50" s="24">
        <f t="shared" si="13"/>
        <v>7.1073847664432355E-4</v>
      </c>
    </row>
    <row r="51" spans="1:15" x14ac:dyDescent="0.25">
      <c r="A51" s="26">
        <v>48000</v>
      </c>
      <c r="B51" s="23">
        <f t="shared" si="0"/>
        <v>-69.680000000000007</v>
      </c>
      <c r="C51" s="23">
        <v>389.99</v>
      </c>
      <c r="D51" s="23">
        <f t="shared" si="1"/>
        <v>-56.488888888888894</v>
      </c>
      <c r="E51" s="1">
        <f t="shared" si="9"/>
        <v>0.75190390807257035</v>
      </c>
      <c r="F51" s="1">
        <f t="shared" si="35"/>
        <v>0.12594813517829737</v>
      </c>
      <c r="G51" s="2">
        <f t="shared" si="2"/>
        <v>266.53396262701642</v>
      </c>
      <c r="H51" s="24">
        <f t="shared" si="3"/>
        <v>3.9814077347992481E-4</v>
      </c>
      <c r="I51" s="1">
        <f t="shared" si="11"/>
        <v>0.16750562648510856</v>
      </c>
      <c r="J51" s="1">
        <f t="shared" si="36"/>
        <v>0.40927451238149259</v>
      </c>
      <c r="K51" s="23">
        <f t="shared" si="5"/>
        <v>186.58402601711504</v>
      </c>
      <c r="L51" s="1">
        <f t="shared" si="6"/>
        <v>1.2809800515956536E-2</v>
      </c>
      <c r="M51" s="2">
        <f t="shared" si="12"/>
        <v>968.1005104214338</v>
      </c>
      <c r="N51" s="2">
        <f t="shared" si="7"/>
        <v>573.55701361285662</v>
      </c>
      <c r="O51" s="24">
        <f t="shared" si="13"/>
        <v>7.4576052562912512E-4</v>
      </c>
    </row>
    <row r="52" spans="1:15" x14ac:dyDescent="0.25">
      <c r="A52" s="26">
        <v>49000</v>
      </c>
      <c r="B52" s="23">
        <f t="shared" si="0"/>
        <v>-69.680000000000007</v>
      </c>
      <c r="C52" s="23">
        <v>389.99</v>
      </c>
      <c r="D52" s="23">
        <f t="shared" si="1"/>
        <v>-56.488888888888894</v>
      </c>
      <c r="E52" s="1">
        <f t="shared" si="9"/>
        <v>0.75190390807257035</v>
      </c>
      <c r="F52" s="1">
        <f t="shared" si="35"/>
        <v>0.12003341911574136</v>
      </c>
      <c r="G52" s="2">
        <f t="shared" si="2"/>
        <v>254.01712220111418</v>
      </c>
      <c r="H52" s="24">
        <f t="shared" si="3"/>
        <v>3.7944347697190981E-4</v>
      </c>
      <c r="I52" s="1">
        <f t="shared" si="11"/>
        <v>0.15963930739957835</v>
      </c>
      <c r="J52" s="1">
        <f t="shared" si="36"/>
        <v>0.39954887986275017</v>
      </c>
      <c r="K52" s="23">
        <f t="shared" si="5"/>
        <v>177.82175626109597</v>
      </c>
      <c r="L52" s="1">
        <f t="shared" si="6"/>
        <v>1.2208232793158511E-2</v>
      </c>
      <c r="M52" s="2">
        <f t="shared" si="12"/>
        <v>968.1005104214338</v>
      </c>
      <c r="N52" s="2">
        <f t="shared" si="7"/>
        <v>573.55701361285662</v>
      </c>
      <c r="O52" s="24">
        <f t="shared" si="13"/>
        <v>7.8250830630765059E-4</v>
      </c>
    </row>
    <row r="53" spans="1:15" x14ac:dyDescent="0.25">
      <c r="A53" s="26">
        <v>50000</v>
      </c>
      <c r="B53" s="23">
        <f t="shared" si="0"/>
        <v>-69.680000000000007</v>
      </c>
      <c r="C53" s="23">
        <v>389.99</v>
      </c>
      <c r="D53" s="23">
        <f t="shared" si="1"/>
        <v>-56.488888888888894</v>
      </c>
      <c r="E53" s="1">
        <f t="shared" si="9"/>
        <v>0.75190390807257035</v>
      </c>
      <c r="F53" s="1">
        <f t="shared" si="35"/>
        <v>0.11439646711893463</v>
      </c>
      <c r="G53" s="2">
        <f t="shared" si="2"/>
        <v>242.08809164643182</v>
      </c>
      <c r="H53" s="24">
        <f t="shared" si="3"/>
        <v>3.616242339565153E-4</v>
      </c>
      <c r="I53" s="1">
        <f t="shared" si="11"/>
        <v>0.15214240262718998</v>
      </c>
      <c r="J53" s="1">
        <f t="shared" si="36"/>
        <v>0.39005435855427889</v>
      </c>
      <c r="K53" s="23">
        <f t="shared" si="5"/>
        <v>169.47097602492579</v>
      </c>
      <c r="L53" s="1">
        <f t="shared" si="6"/>
        <v>1.1634915605929845E-2</v>
      </c>
      <c r="M53" s="2">
        <f t="shared" si="12"/>
        <v>968.1005104214338</v>
      </c>
      <c r="N53" s="2">
        <f t="shared" si="7"/>
        <v>573.55701361285662</v>
      </c>
      <c r="O53" s="24">
        <f t="shared" si="13"/>
        <v>8.2106685510595237E-4</v>
      </c>
    </row>
    <row r="54" spans="1:15" x14ac:dyDescent="0.25">
      <c r="A54" s="26">
        <v>51000</v>
      </c>
      <c r="B54" s="23">
        <f t="shared" si="0"/>
        <v>-69.680000000000007</v>
      </c>
      <c r="C54" s="23">
        <v>389.99</v>
      </c>
      <c r="D54" s="23">
        <f t="shared" si="1"/>
        <v>-56.488888888888894</v>
      </c>
      <c r="E54" s="1">
        <f t="shared" si="9"/>
        <v>0.75190390807257035</v>
      </c>
      <c r="F54" s="1">
        <f t="shared" si="35"/>
        <v>0.10902423496472159</v>
      </c>
      <c r="G54" s="2">
        <f t="shared" si="2"/>
        <v>230.71926651704311</v>
      </c>
      <c r="H54" s="24">
        <f t="shared" si="3"/>
        <v>3.4464180970573797E-4</v>
      </c>
      <c r="I54" s="1">
        <f t="shared" si="11"/>
        <v>0.14499756390972113</v>
      </c>
      <c r="J54" s="1">
        <f t="shared" si="36"/>
        <v>0.38078545653651363</v>
      </c>
      <c r="K54" s="23">
        <f t="shared" si="5"/>
        <v>161.51236113465632</v>
      </c>
      <c r="L54" s="1">
        <f t="shared" si="6"/>
        <v>1.1088522266136002E-2</v>
      </c>
      <c r="M54" s="2">
        <f t="shared" si="12"/>
        <v>968.1005104214338</v>
      </c>
      <c r="N54" s="2">
        <f t="shared" si="7"/>
        <v>573.55701361285662</v>
      </c>
      <c r="O54" s="24">
        <f t="shared" si="13"/>
        <v>8.6152539866909755E-4</v>
      </c>
    </row>
    <row r="55" spans="1:15" x14ac:dyDescent="0.25">
      <c r="A55" s="26">
        <v>52000</v>
      </c>
      <c r="B55" s="23">
        <f t="shared" si="0"/>
        <v>-69.680000000000007</v>
      </c>
      <c r="C55" s="23">
        <v>389.99</v>
      </c>
      <c r="D55" s="23">
        <f t="shared" si="1"/>
        <v>-56.488888888888894</v>
      </c>
      <c r="E55" s="1">
        <f t="shared" si="9"/>
        <v>0.75190390807257035</v>
      </c>
      <c r="F55" s="1">
        <f t="shared" si="35"/>
        <v>0.10390429100651337</v>
      </c>
      <c r="G55" s="2">
        <f t="shared" si="2"/>
        <v>219.88433871380371</v>
      </c>
      <c r="H55" s="24">
        <f t="shared" si="3"/>
        <v>3.2845690593714174E-4</v>
      </c>
      <c r="I55" s="1">
        <f t="shared" si="11"/>
        <v>0.13818825768955173</v>
      </c>
      <c r="J55" s="1">
        <f t="shared" si="36"/>
        <v>0.37173681239494122</v>
      </c>
      <c r="K55" s="23">
        <f t="shared" si="5"/>
        <v>153.92749490895054</v>
      </c>
      <c r="L55" s="1">
        <f t="shared" si="6"/>
        <v>1.0567788388935845E-2</v>
      </c>
      <c r="M55" s="2">
        <f t="shared" si="12"/>
        <v>968.1005104214338</v>
      </c>
      <c r="N55" s="2">
        <f t="shared" si="7"/>
        <v>573.55701361285662</v>
      </c>
      <c r="O55" s="24">
        <f t="shared" si="13"/>
        <v>9.0397756033662945E-4</v>
      </c>
    </row>
    <row r="56" spans="1:15" x14ac:dyDescent="0.25">
      <c r="A56" s="26">
        <v>53000</v>
      </c>
      <c r="B56" s="23">
        <f t="shared" si="0"/>
        <v>-69.680000000000007</v>
      </c>
      <c r="C56" s="23">
        <v>389.99</v>
      </c>
      <c r="D56" s="23">
        <f t="shared" si="1"/>
        <v>-56.488888888888894</v>
      </c>
      <c r="E56" s="1">
        <f t="shared" si="9"/>
        <v>0.75190390807257035</v>
      </c>
      <c r="F56" s="1">
        <f t="shared" si="35"/>
        <v>9.9024787406760087E-2</v>
      </c>
      <c r="G56" s="2">
        <f t="shared" si="2"/>
        <v>209.55823560593382</v>
      </c>
      <c r="H56" s="24">
        <f t="shared" si="3"/>
        <v>3.1303206987542758E-4</v>
      </c>
      <c r="I56" s="1">
        <f t="shared" si="11"/>
        <v>0.13169872685008396</v>
      </c>
      <c r="J56" s="1">
        <f t="shared" si="36"/>
        <v>0.36290319211889549</v>
      </c>
      <c r="K56" s="23">
        <f t="shared" si="5"/>
        <v>146.69882554184861</v>
      </c>
      <c r="L56" s="1">
        <f t="shared" si="6"/>
        <v>1.0071508966924188E-2</v>
      </c>
      <c r="M56" s="2">
        <f t="shared" si="12"/>
        <v>968.1005104214338</v>
      </c>
      <c r="N56" s="2">
        <f t="shared" si="7"/>
        <v>573.55701361285662</v>
      </c>
      <c r="O56" s="24">
        <f t="shared" si="13"/>
        <v>9.4852157679222696E-4</v>
      </c>
    </row>
    <row r="57" spans="1:15" x14ac:dyDescent="0.25">
      <c r="A57" s="26">
        <v>54000</v>
      </c>
      <c r="B57" s="23">
        <f t="shared" si="0"/>
        <v>-69.680000000000007</v>
      </c>
      <c r="C57" s="23">
        <v>389.99</v>
      </c>
      <c r="D57" s="23">
        <f t="shared" si="1"/>
        <v>-56.488888888888894</v>
      </c>
      <c r="E57" s="1">
        <f t="shared" si="9"/>
        <v>0.75190390807257035</v>
      </c>
      <c r="F57" s="1">
        <f t="shared" si="35"/>
        <v>9.4374432720390103E-2</v>
      </c>
      <c r="G57" s="2">
        <f t="shared" si="2"/>
        <v>199.71706201154393</v>
      </c>
      <c r="H57" s="24">
        <f t="shared" si="3"/>
        <v>2.9833160758461011E-4</v>
      </c>
      <c r="I57" s="1">
        <f t="shared" si="11"/>
        <v>0.12551395425289039</v>
      </c>
      <c r="J57" s="1">
        <f t="shared" si="36"/>
        <v>0.3542794860740463</v>
      </c>
      <c r="K57" s="23">
        <f t="shared" si="5"/>
        <v>139.8096254869042</v>
      </c>
      <c r="L57" s="1">
        <f t="shared" si="6"/>
        <v>9.5985355816770521E-3</v>
      </c>
      <c r="M57" s="2">
        <f t="shared" si="12"/>
        <v>968.1005104214338</v>
      </c>
      <c r="N57" s="2">
        <f t="shared" si="7"/>
        <v>573.55701361285662</v>
      </c>
      <c r="O57" s="24">
        <f t="shared" si="13"/>
        <v>9.9526052538890337E-4</v>
      </c>
    </row>
    <row r="58" spans="1:15" x14ac:dyDescent="0.25">
      <c r="A58" s="26">
        <v>55000</v>
      </c>
      <c r="B58" s="23">
        <f t="shared" si="0"/>
        <v>-69.680000000000007</v>
      </c>
      <c r="C58" s="23">
        <v>389.99</v>
      </c>
      <c r="D58" s="23">
        <f t="shared" si="1"/>
        <v>-56.488888888888894</v>
      </c>
      <c r="E58" s="1">
        <f t="shared" si="9"/>
        <v>0.75190390807257035</v>
      </c>
      <c r="F58" s="1">
        <f t="shared" si="35"/>
        <v>8.9942465765772708E-2</v>
      </c>
      <c r="G58" s="2">
        <f t="shared" si="2"/>
        <v>190.33804490284351</v>
      </c>
      <c r="H58" s="24">
        <f t="shared" si="3"/>
        <v>2.843215013702476E-4</v>
      </c>
      <c r="I58" s="1">
        <f t="shared" si="11"/>
        <v>0.11961962798721332</v>
      </c>
      <c r="J58" s="1">
        <f t="shared" si="36"/>
        <v>0.34586070604683228</v>
      </c>
      <c r="K58" s="23">
        <f t="shared" si="5"/>
        <v>133.2439527487038</v>
      </c>
      <c r="L58" s="1">
        <f t="shared" si="6"/>
        <v>9.1477737462470118E-3</v>
      </c>
      <c r="M58" s="2">
        <f t="shared" si="12"/>
        <v>968.1005104214338</v>
      </c>
      <c r="N58" s="2">
        <f t="shared" si="7"/>
        <v>573.55701361285662</v>
      </c>
      <c r="O58" s="24">
        <f t="shared" si="13"/>
        <v>1.0443025626757812E-3</v>
      </c>
    </row>
    <row r="59" spans="1:15" x14ac:dyDescent="0.25">
      <c r="A59" s="26">
        <v>56000</v>
      </c>
      <c r="B59" s="23">
        <f t="shared" si="0"/>
        <v>-69.680000000000007</v>
      </c>
      <c r="C59" s="23">
        <v>389.99</v>
      </c>
      <c r="D59" s="23">
        <f t="shared" si="1"/>
        <v>-56.488888888888894</v>
      </c>
      <c r="E59" s="1">
        <f t="shared" si="9"/>
        <v>0.75190390807257035</v>
      </c>
      <c r="F59" s="1">
        <f t="shared" si="35"/>
        <v>8.5718630722740052E-2</v>
      </c>
      <c r="G59" s="2">
        <f t="shared" si="2"/>
        <v>181.39948070807694</v>
      </c>
      <c r="H59" s="24">
        <f t="shared" si="3"/>
        <v>2.7096933106058815E-4</v>
      </c>
      <c r="I59" s="1">
        <f t="shared" si="11"/>
        <v>0.11400210825140022</v>
      </c>
      <c r="J59" s="1">
        <f t="shared" si="36"/>
        <v>0.33764198235912579</v>
      </c>
      <c r="K59" s="23">
        <f t="shared" si="5"/>
        <v>126.98661399219471</v>
      </c>
      <c r="L59" s="1">
        <f t="shared" si="6"/>
        <v>8.7181803724589862E-3</v>
      </c>
      <c r="M59" s="2">
        <f t="shared" si="12"/>
        <v>968.1005104214338</v>
      </c>
      <c r="N59" s="2">
        <f t="shared" si="7"/>
        <v>573.55701361285662</v>
      </c>
      <c r="O59" s="24">
        <f t="shared" si="13"/>
        <v>1.095761174678418E-3</v>
      </c>
    </row>
    <row r="60" spans="1:15" x14ac:dyDescent="0.25">
      <c r="A60" s="26">
        <v>57000</v>
      </c>
      <c r="B60" s="23">
        <f t="shared" si="0"/>
        <v>-69.680000000000007</v>
      </c>
      <c r="C60" s="23">
        <v>389.99</v>
      </c>
      <c r="D60" s="23">
        <f t="shared" si="1"/>
        <v>-56.488888888888894</v>
      </c>
      <c r="E60" s="1">
        <f t="shared" si="9"/>
        <v>0.75190390807257035</v>
      </c>
      <c r="F60" s="1">
        <f t="shared" si="35"/>
        <v>8.1693153400043989E-2</v>
      </c>
      <c r="G60" s="2">
        <f t="shared" si="2"/>
        <v>172.88068508824108</v>
      </c>
      <c r="H60" s="24">
        <f t="shared" si="3"/>
        <v>2.5824419898447411E-4</v>
      </c>
      <c r="I60" s="1">
        <f t="shared" si="11"/>
        <v>0.10864839578963771</v>
      </c>
      <c r="J60" s="1">
        <f t="shared" si="36"/>
        <v>0.32961856105146403</v>
      </c>
      <c r="K60" s="23">
        <f t="shared" si="5"/>
        <v>121.02312938445553</v>
      </c>
      <c r="L60" s="1">
        <f t="shared" si="6"/>
        <v>8.3087613571456997E-3</v>
      </c>
      <c r="M60" s="2">
        <f t="shared" si="12"/>
        <v>968.1005104214338</v>
      </c>
      <c r="N60" s="2">
        <f t="shared" si="7"/>
        <v>573.55701361285662</v>
      </c>
      <c r="O60" s="24">
        <f t="shared" si="13"/>
        <v>1.1497554395118324E-3</v>
      </c>
    </row>
    <row r="61" spans="1:15" x14ac:dyDescent="0.25">
      <c r="A61" s="26">
        <v>58000</v>
      </c>
      <c r="B61" s="23">
        <f t="shared" si="0"/>
        <v>-69.680000000000007</v>
      </c>
      <c r="C61" s="23">
        <v>389.99</v>
      </c>
      <c r="D61" s="23">
        <f t="shared" si="1"/>
        <v>-56.488888888888894</v>
      </c>
      <c r="E61" s="1">
        <f t="shared" si="9"/>
        <v>0.75190390807257035</v>
      </c>
      <c r="F61" s="1">
        <f t="shared" si="35"/>
        <v>7.7856718617329151E-2</v>
      </c>
      <c r="G61" s="2">
        <f t="shared" si="2"/>
        <v>164.76194507236428</v>
      </c>
      <c r="H61" s="24">
        <f t="shared" si="3"/>
        <v>2.4611665847239689E-4</v>
      </c>
      <c r="I61" s="1">
        <f t="shared" si="11"/>
        <v>0.10354610181094413</v>
      </c>
      <c r="J61" s="1">
        <f t="shared" si="36"/>
        <v>0.32178580113321364</v>
      </c>
      <c r="K61" s="23">
        <f t="shared" si="5"/>
        <v>115.33969908755046</v>
      </c>
      <c r="L61" s="1">
        <f t="shared" si="6"/>
        <v>7.9185692817371669E-3</v>
      </c>
      <c r="M61" s="2">
        <f t="shared" si="12"/>
        <v>968.1005104214338</v>
      </c>
      <c r="N61" s="2">
        <f t="shared" si="7"/>
        <v>573.55701361285662</v>
      </c>
      <c r="O61" s="24">
        <f t="shared" si="13"/>
        <v>1.2064103029339472E-3</v>
      </c>
    </row>
    <row r="62" spans="1:15" x14ac:dyDescent="0.25">
      <c r="A62" s="26">
        <v>59000</v>
      </c>
      <c r="B62" s="23">
        <f t="shared" si="0"/>
        <v>-69.680000000000007</v>
      </c>
      <c r="C62" s="23">
        <v>389.99</v>
      </c>
      <c r="D62" s="23">
        <f t="shared" si="1"/>
        <v>-56.488888888888894</v>
      </c>
      <c r="E62" s="1">
        <f t="shared" si="9"/>
        <v>0.75190390807257035</v>
      </c>
      <c r="F62" s="1">
        <f t="shared" si="35"/>
        <v>7.420044864928306E-2</v>
      </c>
      <c r="G62" s="2">
        <f t="shared" si="2"/>
        <v>157.02447344058578</v>
      </c>
      <c r="H62" s="24">
        <f t="shared" si="3"/>
        <v>2.3455864571525264E-4</v>
      </c>
      <c r="I62" s="1">
        <f t="shared" si="11"/>
        <v>9.8683419320812427E-2</v>
      </c>
      <c r="J62" s="1">
        <f t="shared" si="36"/>
        <v>0.31413917189808155</v>
      </c>
      <c r="K62" s="23">
        <f t="shared" si="5"/>
        <v>109.92317132493011</v>
      </c>
      <c r="L62" s="1">
        <f t="shared" si="6"/>
        <v>7.5467012198809904E-3</v>
      </c>
      <c r="M62" s="2">
        <f t="shared" si="12"/>
        <v>968.1005104214338</v>
      </c>
      <c r="N62" s="2">
        <f t="shared" si="7"/>
        <v>573.55701361285662</v>
      </c>
      <c r="O62" s="24">
        <f t="shared" si="13"/>
        <v>1.2658568674770768E-3</v>
      </c>
    </row>
    <row r="63" spans="1:15" x14ac:dyDescent="0.25">
      <c r="A63" s="26">
        <v>60000</v>
      </c>
      <c r="B63" s="23">
        <f t="shared" si="0"/>
        <v>-69.680000000000007</v>
      </c>
      <c r="C63" s="23">
        <v>389.99</v>
      </c>
      <c r="D63" s="23">
        <f t="shared" si="1"/>
        <v>-56.488888888888894</v>
      </c>
      <c r="E63" s="1">
        <f t="shared" si="9"/>
        <v>0.75190390807257035</v>
      </c>
      <c r="F63" s="1">
        <f t="shared" si="35"/>
        <v>7.071588268208169E-2</v>
      </c>
      <c r="G63" s="2">
        <f t="shared" si="2"/>
        <v>149.6503652494749</v>
      </c>
      <c r="H63" s="24">
        <f t="shared" si="3"/>
        <v>2.2354341482311288E-4</v>
      </c>
      <c r="I63" s="1">
        <f t="shared" si="11"/>
        <v>9.4049095799162291E-2</v>
      </c>
      <c r="J63" s="1">
        <f t="shared" si="36"/>
        <v>0.30667425030341605</v>
      </c>
      <c r="K63" s="23">
        <f t="shared" si="5"/>
        <v>104.76101194748277</v>
      </c>
      <c r="L63" s="1">
        <f t="shared" si="6"/>
        <v>7.1922966480201106E-3</v>
      </c>
      <c r="M63" s="2">
        <f t="shared" si="12"/>
        <v>968.1005104214338</v>
      </c>
      <c r="N63" s="2">
        <f t="shared" si="7"/>
        <v>573.55701361285662</v>
      </c>
      <c r="O63" s="24">
        <f t="shared" si="13"/>
        <v>1.3282326958265463E-3</v>
      </c>
    </row>
    <row r="64" spans="1:15" x14ac:dyDescent="0.25">
      <c r="L64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53FDE-CC5B-4946-A1FD-6E3AB3EF7C0E}">
  <dimension ref="B2:I17"/>
  <sheetViews>
    <sheetView topLeftCell="B1" workbookViewId="0">
      <selection activeCell="I20" sqref="I20"/>
    </sheetView>
  </sheetViews>
  <sheetFormatPr defaultRowHeight="15" x14ac:dyDescent="0.25"/>
  <cols>
    <col min="3" max="3" width="10.28515625" customWidth="1"/>
    <col min="6" max="6" width="9.5703125" customWidth="1"/>
    <col min="7" max="7" width="9.28515625" customWidth="1"/>
  </cols>
  <sheetData>
    <row r="2" spans="2:9" ht="18.75" x14ac:dyDescent="0.3">
      <c r="B2" s="90" t="s">
        <v>41</v>
      </c>
      <c r="C2" s="90"/>
      <c r="D2" s="90"/>
      <c r="E2" s="90"/>
      <c r="F2" s="90"/>
      <c r="G2" s="90"/>
      <c r="H2" s="90"/>
      <c r="I2" s="90"/>
    </row>
    <row r="3" spans="2:9" x14ac:dyDescent="0.25">
      <c r="B3" s="97" t="s">
        <v>42</v>
      </c>
      <c r="C3" s="98"/>
      <c r="D3" s="95" t="s">
        <v>49</v>
      </c>
      <c r="E3" s="96"/>
      <c r="F3" s="44"/>
      <c r="G3" s="46"/>
      <c r="H3" s="46"/>
      <c r="I3" s="45"/>
    </row>
    <row r="4" spans="2:9" x14ac:dyDescent="0.25">
      <c r="B4" s="33" t="s">
        <v>43</v>
      </c>
      <c r="C4" s="34"/>
      <c r="D4" s="42">
        <v>17</v>
      </c>
      <c r="E4" s="38" t="s">
        <v>59</v>
      </c>
      <c r="F4" s="91" t="s">
        <v>50</v>
      </c>
      <c r="G4" s="92"/>
      <c r="H4" s="36">
        <v>370</v>
      </c>
      <c r="I4" s="37" t="s">
        <v>63</v>
      </c>
    </row>
    <row r="5" spans="2:9" x14ac:dyDescent="0.25">
      <c r="B5" s="33" t="s">
        <v>57</v>
      </c>
      <c r="C5" s="34"/>
      <c r="D5" s="42">
        <v>37.799999999999997</v>
      </c>
      <c r="E5" s="38" t="s">
        <v>58</v>
      </c>
      <c r="F5" s="93" t="s">
        <v>51</v>
      </c>
      <c r="G5" s="94"/>
      <c r="H5" s="35">
        <v>960</v>
      </c>
      <c r="I5" s="38" t="s">
        <v>63</v>
      </c>
    </row>
    <row r="6" spans="2:9" x14ac:dyDescent="0.25">
      <c r="B6" s="33"/>
      <c r="C6" s="34"/>
      <c r="D6" s="42"/>
      <c r="E6" s="38"/>
      <c r="F6" s="93" t="s">
        <v>52</v>
      </c>
      <c r="G6" s="94"/>
      <c r="H6" s="35">
        <v>900</v>
      </c>
      <c r="I6" s="38" t="s">
        <v>63</v>
      </c>
    </row>
    <row r="7" spans="2:9" x14ac:dyDescent="0.25">
      <c r="B7" s="33" t="s">
        <v>44</v>
      </c>
      <c r="C7" s="34"/>
      <c r="D7" s="42">
        <v>6</v>
      </c>
      <c r="E7" s="38" t="s">
        <v>60</v>
      </c>
      <c r="F7" s="43"/>
      <c r="G7" s="40"/>
      <c r="H7" s="39"/>
      <c r="I7" s="40"/>
    </row>
    <row r="8" spans="2:9" x14ac:dyDescent="0.25">
      <c r="B8" s="33" t="s">
        <v>45</v>
      </c>
      <c r="C8" s="34"/>
      <c r="D8" s="42">
        <v>-1.5</v>
      </c>
      <c r="E8" s="38" t="s">
        <v>60</v>
      </c>
      <c r="F8" s="41" t="s">
        <v>66</v>
      </c>
      <c r="G8" s="37"/>
      <c r="H8" s="36">
        <v>202</v>
      </c>
      <c r="I8" s="37" t="s">
        <v>63</v>
      </c>
    </row>
    <row r="9" spans="2:9" x14ac:dyDescent="0.25">
      <c r="B9" s="33"/>
      <c r="C9" s="34"/>
      <c r="D9" s="42"/>
      <c r="E9" s="38"/>
      <c r="F9" s="43" t="s">
        <v>67</v>
      </c>
      <c r="G9" s="40"/>
      <c r="H9" s="39">
        <v>1.3</v>
      </c>
      <c r="I9" s="40" t="s">
        <v>68</v>
      </c>
    </row>
    <row r="10" spans="2:9" x14ac:dyDescent="0.25">
      <c r="B10" s="33" t="s">
        <v>46</v>
      </c>
      <c r="C10" s="34"/>
      <c r="D10" s="42">
        <v>300</v>
      </c>
      <c r="E10" s="38" t="s">
        <v>61</v>
      </c>
      <c r="F10" s="41" t="s">
        <v>53</v>
      </c>
      <c r="G10" s="36">
        <v>1.35</v>
      </c>
      <c r="H10" s="36" t="s">
        <v>54</v>
      </c>
      <c r="I10" s="37"/>
    </row>
    <row r="11" spans="2:9" x14ac:dyDescent="0.25">
      <c r="B11" s="33" t="s">
        <v>46</v>
      </c>
      <c r="C11" s="34"/>
      <c r="D11" s="42">
        <v>260</v>
      </c>
      <c r="E11" s="38" t="s">
        <v>2</v>
      </c>
      <c r="F11" s="42" t="s">
        <v>53</v>
      </c>
      <c r="G11" s="35">
        <v>1.6</v>
      </c>
      <c r="H11" s="35" t="s">
        <v>56</v>
      </c>
      <c r="I11" s="38"/>
    </row>
    <row r="12" spans="2:9" x14ac:dyDescent="0.25">
      <c r="B12" s="33" t="s">
        <v>47</v>
      </c>
      <c r="C12" s="34"/>
      <c r="D12" s="42">
        <v>0.55000000000000004</v>
      </c>
      <c r="E12" s="38" t="s">
        <v>62</v>
      </c>
      <c r="F12" s="42" t="s">
        <v>53</v>
      </c>
      <c r="G12" s="35">
        <v>2</v>
      </c>
      <c r="H12" s="35" t="s">
        <v>55</v>
      </c>
      <c r="I12" s="38"/>
    </row>
    <row r="13" spans="2:9" x14ac:dyDescent="0.25">
      <c r="B13" s="48" t="s">
        <v>48</v>
      </c>
      <c r="C13" s="49"/>
      <c r="D13" s="43">
        <v>26000</v>
      </c>
      <c r="E13" s="39" t="s">
        <v>59</v>
      </c>
      <c r="F13" s="43" t="s">
        <v>64</v>
      </c>
      <c r="G13" s="47" t="s">
        <v>65</v>
      </c>
      <c r="H13" s="39"/>
      <c r="I13" s="40"/>
    </row>
    <row r="14" spans="2:9" x14ac:dyDescent="0.25">
      <c r="F14" s="42" t="s">
        <v>163</v>
      </c>
      <c r="G14" s="35">
        <v>0.02</v>
      </c>
    </row>
    <row r="15" spans="2:9" x14ac:dyDescent="0.25">
      <c r="B15" s="50" t="s">
        <v>69</v>
      </c>
      <c r="F15" s="42" t="s">
        <v>120</v>
      </c>
      <c r="G15" s="35">
        <v>6.2E-2</v>
      </c>
    </row>
    <row r="16" spans="2:9" x14ac:dyDescent="0.25">
      <c r="B16" s="50" t="s">
        <v>70</v>
      </c>
    </row>
    <row r="17" spans="2:2" x14ac:dyDescent="0.25">
      <c r="B17" s="50" t="s">
        <v>71</v>
      </c>
    </row>
  </sheetData>
  <mergeCells count="6">
    <mergeCell ref="B2:I2"/>
    <mergeCell ref="F4:G4"/>
    <mergeCell ref="F5:G5"/>
    <mergeCell ref="F6:G6"/>
    <mergeCell ref="D3:E3"/>
    <mergeCell ref="B3:C3"/>
  </mergeCell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4850A-B5AC-479A-BE91-D09D412BCEBF}">
  <dimension ref="A1:AA35"/>
  <sheetViews>
    <sheetView workbookViewId="0">
      <selection activeCell="H3" sqref="H3"/>
    </sheetView>
  </sheetViews>
  <sheetFormatPr defaultRowHeight="15" x14ac:dyDescent="0.25"/>
  <cols>
    <col min="6" max="6" width="11.28515625" customWidth="1"/>
    <col min="11" max="12" width="9.85546875" customWidth="1"/>
    <col min="13" max="13" width="9.7109375" customWidth="1"/>
  </cols>
  <sheetData>
    <row r="1" spans="1:27" ht="15.75" x14ac:dyDescent="0.25">
      <c r="A1" s="52" t="s">
        <v>72</v>
      </c>
      <c r="B1" s="52" t="s">
        <v>73</v>
      </c>
      <c r="C1" s="52" t="s">
        <v>74</v>
      </c>
      <c r="D1" s="52" t="s">
        <v>17</v>
      </c>
      <c r="E1" s="52" t="s">
        <v>60</v>
      </c>
      <c r="F1" s="52" t="s">
        <v>87</v>
      </c>
      <c r="G1" s="52" t="s">
        <v>75</v>
      </c>
      <c r="H1" s="52" t="s">
        <v>76</v>
      </c>
      <c r="I1" s="52" t="s">
        <v>77</v>
      </c>
      <c r="J1" s="52" t="s">
        <v>78</v>
      </c>
      <c r="K1" s="52" t="s">
        <v>79</v>
      </c>
      <c r="L1" s="52" t="s">
        <v>81</v>
      </c>
      <c r="M1" s="52" t="s">
        <v>82</v>
      </c>
      <c r="O1" s="100" t="s">
        <v>95</v>
      </c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</row>
    <row r="2" spans="1:27" x14ac:dyDescent="0.25">
      <c r="A2" s="52" t="s">
        <v>83</v>
      </c>
      <c r="B2" s="52"/>
      <c r="C2" s="52" t="s">
        <v>84</v>
      </c>
      <c r="D2" s="52"/>
      <c r="E2" s="52"/>
      <c r="F2" s="52"/>
      <c r="G2" s="52"/>
      <c r="H2" s="52" t="s">
        <v>84</v>
      </c>
      <c r="I2" s="52" t="s">
        <v>86</v>
      </c>
      <c r="J2" s="52" t="s">
        <v>85</v>
      </c>
      <c r="K2" s="52" t="s">
        <v>80</v>
      </c>
      <c r="L2" s="52"/>
      <c r="M2" s="52"/>
      <c r="P2" t="s">
        <v>88</v>
      </c>
      <c r="Q2">
        <v>0</v>
      </c>
      <c r="R2" t="s">
        <v>59</v>
      </c>
      <c r="W2" t="s">
        <v>88</v>
      </c>
      <c r="X2">
        <v>10000</v>
      </c>
      <c r="Y2" t="s">
        <v>59</v>
      </c>
    </row>
    <row r="3" spans="1:27" x14ac:dyDescent="0.25">
      <c r="A3">
        <v>0</v>
      </c>
      <c r="B3" cm="1">
        <f t="array" ref="B3">Linterp($A3,atmos_h, atmos_rho)</f>
        <v>2.3768800000000001E-3</v>
      </c>
      <c r="C3" s="23" cm="1">
        <f t="array" ref="C3">Linterp($A3,atmos_h, atmos_aspeed)</f>
        <v>1116.45</v>
      </c>
      <c r="D3" s="23" cm="1">
        <f t="array" ref="D3">Linterp($A3,atmos_h, atmos_qms)</f>
        <v>1481.4354000000001</v>
      </c>
      <c r="E3" s="23">
        <v>1</v>
      </c>
      <c r="F3" s="23">
        <f>G3*0.5*B3*H3*H3*'BD-5J Details'!$D$5/'BD-5J Details'!$H$6</f>
        <v>1.0000000000000002</v>
      </c>
      <c r="G3">
        <f>'BD-5J Details'!$G$10</f>
        <v>1.35</v>
      </c>
      <c r="H3" s="2">
        <f>SQRT(2*'BD-5J Details'!$H$6*'HW#7 Calculations'!E3/('HW#7 Calculations'!B3*'BD-5J Details'!$D$5*'BD-5J Details'!$G$10))</f>
        <v>121.8203492385378</v>
      </c>
      <c r="I3" s="51">
        <f t="shared" ref="I3:I29" si="0">H3/C3</f>
        <v>0.10911402144165686</v>
      </c>
      <c r="J3" s="2" cm="1">
        <f t="array" ref="J3">$D$3*POWER('BD-5J Details'!$D$11/Linterp($A$3,atmos_h,atmos_vela),2)</f>
        <v>228.89619148156612</v>
      </c>
      <c r="K3" s="1">
        <f t="shared" ref="K3:K29" si="1">SQRT(J3/D3)</f>
        <v>0.39307726374769231</v>
      </c>
      <c r="L3">
        <f>'BD-5J Details'!$D$12</f>
        <v>0.55000000000000004</v>
      </c>
      <c r="M3" s="1">
        <f>MIN(L3,K3)</f>
        <v>0.39307726374769231</v>
      </c>
      <c r="O3" t="s">
        <v>94</v>
      </c>
      <c r="P3" t="s">
        <v>89</v>
      </c>
      <c r="Q3" s="99" t="s">
        <v>90</v>
      </c>
      <c r="R3" s="99" t="s">
        <v>91</v>
      </c>
      <c r="S3" t="s">
        <v>93</v>
      </c>
      <c r="T3" t="s">
        <v>92</v>
      </c>
      <c r="W3" t="s">
        <v>89</v>
      </c>
      <c r="X3" s="99" t="s">
        <v>90</v>
      </c>
      <c r="Y3" s="99" t="s">
        <v>91</v>
      </c>
      <c r="Z3" t="s">
        <v>93</v>
      </c>
      <c r="AA3" t="s">
        <v>92</v>
      </c>
    </row>
    <row r="4" spans="1:27" x14ac:dyDescent="0.25">
      <c r="A4">
        <v>1000</v>
      </c>
      <c r="B4" cm="1">
        <f t="array" ref="B4">Linterp(A4,atmos_h, atmos_rho)</f>
        <v>2.3081009598793535E-3</v>
      </c>
      <c r="C4" s="23" cm="1">
        <f t="array" ref="C4">Linterp($A4,atmos_h, atmos_aspeed)</f>
        <v>1112.6054288919283</v>
      </c>
      <c r="D4" s="23" cm="1">
        <f t="array" ref="D4">Linterp($A4,atmos_h, atmos_qms)</f>
        <v>1428.6770121348045</v>
      </c>
      <c r="E4" s="23">
        <v>1</v>
      </c>
      <c r="F4" s="23">
        <f>G4*0.5*B4*H4*H4*'BD-5J Details'!$D$5/'BD-5J Details'!$H$6</f>
        <v>1.0000000000000002</v>
      </c>
      <c r="G4">
        <f>'BD-5J Details'!$G$10</f>
        <v>1.35</v>
      </c>
      <c r="H4" s="2">
        <f>SQRT(2*'BD-5J Details'!$H$6*'HW#7 Calculations'!E4/('HW#7 Calculations'!B4*'BD-5J Details'!$D$5*'BD-5J Details'!$G$10))</f>
        <v>123.62208599325616</v>
      </c>
      <c r="I4" s="51">
        <f t="shared" si="0"/>
        <v>0.11111044650966201</v>
      </c>
      <c r="J4" s="2" cm="1">
        <f t="array" ref="J4">$D$3*POWER('BD-5J Details'!$D$11/Linterp($A$3,atmos_h,atmos_vela),2)</f>
        <v>228.89619148156612</v>
      </c>
      <c r="K4" s="1">
        <f t="shared" si="1"/>
        <v>0.400269275302581</v>
      </c>
      <c r="L4">
        <f>'BD-5J Details'!$D$12</f>
        <v>0.55000000000000004</v>
      </c>
      <c r="M4" s="1">
        <f t="shared" ref="M4:M29" si="2">MIN(L4,K4)</f>
        <v>0.400269275302581</v>
      </c>
      <c r="P4" t="s">
        <v>84</v>
      </c>
      <c r="Q4" s="99"/>
      <c r="R4" s="99"/>
      <c r="W4" t="s">
        <v>84</v>
      </c>
      <c r="X4" s="99"/>
      <c r="Y4" s="99"/>
    </row>
    <row r="5" spans="1:27" x14ac:dyDescent="0.25">
      <c r="A5">
        <v>2000</v>
      </c>
      <c r="B5" cm="1">
        <f t="array" ref="B5">Linterp(A5,atmos_h, atmos_rho)</f>
        <v>2.240855002695098E-3</v>
      </c>
      <c r="C5" s="23" cm="1">
        <f t="array" ref="C5">Linterp($A5,atmos_h, atmos_aspeed)</f>
        <v>1108.7475268516198</v>
      </c>
      <c r="D5" s="23" cm="1">
        <f t="array" ref="D5">Linterp($A5,atmos_h, atmos_qms)</f>
        <v>1377.4504647488723</v>
      </c>
      <c r="E5" s="23">
        <v>1</v>
      </c>
      <c r="F5" s="23">
        <f>G5*0.5*B5*H5*H5*'BD-5J Details'!$D$5/'BD-5J Details'!$H$6</f>
        <v>1</v>
      </c>
      <c r="G5">
        <f>'BD-5J Details'!$G$10</f>
        <v>1.35</v>
      </c>
      <c r="H5" s="2">
        <f>SQRT(2*'BD-5J Details'!$H$6*'HW#7 Calculations'!E5/('HW#7 Calculations'!B5*'BD-5J Details'!$D$5*'BD-5J Details'!$G$10))</f>
        <v>125.46326650544798</v>
      </c>
      <c r="I5" s="51">
        <f t="shared" si="0"/>
        <v>0.11315765173493671</v>
      </c>
      <c r="J5" s="2" cm="1">
        <f t="array" ref="J5">$D$3*POWER('BD-5J Details'!$D$11/Linterp($A$3,atmos_h,atmos_vela),2)</f>
        <v>228.89619148156612</v>
      </c>
      <c r="K5" s="1">
        <f t="shared" si="1"/>
        <v>0.40764421958241615</v>
      </c>
      <c r="L5">
        <f>'BD-5J Details'!$D$12</f>
        <v>0.55000000000000004</v>
      </c>
      <c r="M5" s="1">
        <f t="shared" si="2"/>
        <v>0.40764421958241615</v>
      </c>
      <c r="O5" cm="1">
        <f t="array" ref="O5">P5/Linterp(Q$2,atmos_h,atmos_aspeed)</f>
        <v>6.4329212448867218E-2</v>
      </c>
      <c r="P5" s="2">
        <f>H3-50</f>
        <v>71.820349238537801</v>
      </c>
      <c r="Q5" cm="1">
        <f t="array" ref="Q5">max_CL*0.5*Linterp($Q$2,atmos_h,atmos_rho)*P5*P5*S/W</f>
        <v>0.34758045293589873</v>
      </c>
      <c r="R5">
        <f>-Q5</f>
        <v>-0.34758045293589873</v>
      </c>
      <c r="S5">
        <f>MIN(max_n,Q5)</f>
        <v>0.34758045293589873</v>
      </c>
      <c r="T5">
        <f t="shared" ref="T5:T24" si="3">MAX(min_n,R5)</f>
        <v>-0.34758045293589873</v>
      </c>
      <c r="V5" cm="1">
        <f t="array" ref="V5">W5/Linterp(X$2,atmos_h,atmos_aspeed)</f>
        <v>6.6605260142106465E-2</v>
      </c>
      <c r="W5" s="2">
        <f>H13-70</f>
        <v>71.75964863341386</v>
      </c>
      <c r="X5" cm="1">
        <f t="array" ref="X5">max_CL*0.5*Linterp($X$2,atmos_h,atmos_rho)*W5*W5*S/W</f>
        <v>0.256244971060343</v>
      </c>
      <c r="Y5">
        <f>-X5</f>
        <v>-0.256244971060343</v>
      </c>
      <c r="Z5">
        <f t="shared" ref="Z5:Z34" si="4">MIN(max_n,X5)</f>
        <v>0.256244971060343</v>
      </c>
      <c r="AA5">
        <f t="shared" ref="AA5:AA34" si="5">MAX(min_n,Y5)</f>
        <v>-0.256244971060343</v>
      </c>
    </row>
    <row r="6" spans="1:27" x14ac:dyDescent="0.25">
      <c r="A6">
        <v>3000</v>
      </c>
      <c r="B6" cm="1">
        <f t="array" ref="B6">Linterp(A6,atmos_h, atmos_rho)</f>
        <v>2.1751182869300663E-3</v>
      </c>
      <c r="C6" s="23" cm="1">
        <f t="array" ref="C6">Linterp($A6,atmos_h, atmos_aspeed)</f>
        <v>1104.8761542360191</v>
      </c>
      <c r="D6" s="23" cm="1">
        <f t="array" ref="D6">Linterp($A6,atmos_h, atmos_qms)</f>
        <v>1327.7214962042053</v>
      </c>
      <c r="E6" s="23">
        <v>1</v>
      </c>
      <c r="F6" s="23">
        <f>G6*0.5*B6*H6*H6*'BD-5J Details'!$D$5/'BD-5J Details'!$H$6</f>
        <v>1.0000000000000002</v>
      </c>
      <c r="G6">
        <f>'BD-5J Details'!$G$10</f>
        <v>1.35</v>
      </c>
      <c r="H6" s="2">
        <f>SQRT(2*'BD-5J Details'!$H$6*'HW#7 Calculations'!E6/('HW#7 Calculations'!B6*'BD-5J Details'!$D$5*'BD-5J Details'!$G$10))</f>
        <v>127.34503835487257</v>
      </c>
      <c r="I6" s="51">
        <f t="shared" si="0"/>
        <v>0.11525729636452055</v>
      </c>
      <c r="J6" s="2" cm="1">
        <f t="array" ref="J6">$D$3*POWER('BD-5J Details'!$D$11/Linterp($A$3,atmos_h,atmos_vela),2)</f>
        <v>228.89619148156612</v>
      </c>
      <c r="K6" s="1">
        <f t="shared" si="1"/>
        <v>0.41520807393344156</v>
      </c>
      <c r="L6">
        <f>'BD-5J Details'!$D$12</f>
        <v>0.55000000000000004</v>
      </c>
      <c r="M6" s="1">
        <f t="shared" si="2"/>
        <v>0.41520807393344156</v>
      </c>
      <c r="O6" cm="1">
        <f t="array" ref="O6">P6/Linterp(Q$2,atmos_h,atmos_aspeed)</f>
        <v>8.1347439866127275E-2</v>
      </c>
      <c r="P6" s="2">
        <f>P5+19</f>
        <v>90.820349238537801</v>
      </c>
      <c r="Q6" cm="1">
        <f t="array" ref="Q6">max_CL*0.5*Linterp($Q$2,atmos_h,atmos_rho)*P6*P6*S/W</f>
        <v>0.55581038204825728</v>
      </c>
      <c r="R6">
        <f t="shared" ref="R6:R24" si="6">-Q6</f>
        <v>-0.55581038204825728</v>
      </c>
      <c r="S6">
        <f t="shared" ref="S6:S24" si="7">MIN(max_n,Q6)</f>
        <v>0.55581038204825728</v>
      </c>
      <c r="T6">
        <f t="shared" si="3"/>
        <v>-0.55581038204825728</v>
      </c>
      <c r="V6" cm="1">
        <f t="array" ref="V6">W6/Linterp(X$2,atmos_h,atmos_aspeed)</f>
        <v>8.0527832523075313E-2</v>
      </c>
      <c r="W6" s="2">
        <f>W5+15</f>
        <v>86.75964863341386</v>
      </c>
      <c r="X6" cm="1">
        <f t="array" ref="X6">max_CL*0.5*Linterp($X$2,atmos_h,atmos_rho)*W6*W6*S/W</f>
        <v>0.37456769013274399</v>
      </c>
      <c r="Y6">
        <f t="shared" ref="Y6:Y34" si="8">-X6</f>
        <v>-0.37456769013274399</v>
      </c>
      <c r="Z6">
        <f t="shared" si="4"/>
        <v>0.37456769013274399</v>
      </c>
      <c r="AA6">
        <f t="shared" si="5"/>
        <v>-0.37456769013274399</v>
      </c>
    </row>
    <row r="7" spans="1:27" x14ac:dyDescent="0.25">
      <c r="A7">
        <v>4000</v>
      </c>
      <c r="B7" cm="1">
        <f t="array" ref="B7">Linterp(A7,atmos_h, atmos_rho)</f>
        <v>2.1108671789392482E-3</v>
      </c>
      <c r="C7" s="23" cm="1">
        <f t="array" ref="C7">Linterp($A7,atmos_h, atmos_aspeed)</f>
        <v>1100.9911689469482</v>
      </c>
      <c r="D7" s="23" cm="1">
        <f t="array" ref="D7">Linterp($A7,atmos_h, atmos_qms)</f>
        <v>1279.4563795175809</v>
      </c>
      <c r="E7" s="23">
        <v>1</v>
      </c>
      <c r="F7" s="23">
        <f>G7*0.5*B7*H7*H7*'BD-5J Details'!$D$5/'BD-5J Details'!$H$6</f>
        <v>1.0000000000000002</v>
      </c>
      <c r="G7">
        <f>'BD-5J Details'!$G$10</f>
        <v>1.35</v>
      </c>
      <c r="H7" s="2">
        <f>SQRT(2*'BD-5J Details'!$H$6*'HW#7 Calculations'!E7/('HW#7 Calculations'!B7*'BD-5J Details'!$D$5*'BD-5J Details'!$G$10))</f>
        <v>129.26859089118219</v>
      </c>
      <c r="I7" s="51">
        <f t="shared" si="0"/>
        <v>0.11741110604440376</v>
      </c>
      <c r="J7" s="2" cm="1">
        <f t="array" ref="J7">$D$3*POWER('BD-5J Details'!$D$11/Linterp($A$3,atmos_h,atmos_vela),2)</f>
        <v>228.89619148156612</v>
      </c>
      <c r="K7" s="1">
        <f t="shared" si="1"/>
        <v>0.42296705490047032</v>
      </c>
      <c r="L7">
        <f>'BD-5J Details'!$D$12</f>
        <v>0.55000000000000004</v>
      </c>
      <c r="M7" s="1">
        <f t="shared" si="2"/>
        <v>0.42296705490047032</v>
      </c>
      <c r="O7" cm="1">
        <f t="array" ref="O7">P7/Linterp(Q$2,atmos_h,atmos_aspeed)</f>
        <v>9.8365667283387345E-2</v>
      </c>
      <c r="P7" s="2">
        <f t="shared" ref="P7:P23" si="9">P6+19</f>
        <v>109.8203492385378</v>
      </c>
      <c r="Q7" cm="1">
        <f t="array" ref="Q7">max_CL*0.5*Linterp($Q$2,atmos_h,atmos_rho)*P7*P7*S/W</f>
        <v>0.81269195481661582</v>
      </c>
      <c r="R7">
        <f t="shared" si="6"/>
        <v>-0.81269195481661582</v>
      </c>
      <c r="S7">
        <f t="shared" si="7"/>
        <v>0.81269195481661582</v>
      </c>
      <c r="T7">
        <f t="shared" si="3"/>
        <v>-0.81269195481661582</v>
      </c>
      <c r="V7" cm="1">
        <f t="array" ref="V7">W7/Linterp(X$2,atmos_h,atmos_aspeed)</f>
        <v>9.4450404904044161E-2</v>
      </c>
      <c r="W7" s="2">
        <f t="shared" ref="W7:W34" si="10">W6+15</f>
        <v>101.75964863341386</v>
      </c>
      <c r="X7" cm="1">
        <f t="array" ref="X7">max_CL*0.5*Linterp($X$2,atmos_h,atmos_rho)*W7*W7*S/W</f>
        <v>0.5152831502365226</v>
      </c>
      <c r="Y7">
        <f t="shared" si="8"/>
        <v>-0.5152831502365226</v>
      </c>
      <c r="Z7">
        <f t="shared" si="4"/>
        <v>0.5152831502365226</v>
      </c>
      <c r="AA7">
        <f t="shared" si="5"/>
        <v>-0.5152831502365226</v>
      </c>
    </row>
    <row r="8" spans="1:27" x14ac:dyDescent="0.25">
      <c r="A8">
        <v>5000</v>
      </c>
      <c r="B8" cm="1">
        <f t="array" ref="B8">Linterp(A8,atmos_h, atmos_rho)</f>
        <v>2.0480782525775574E-3</v>
      </c>
      <c r="C8" s="23" cm="1">
        <f t="array" ref="C8">Linterp($A8,atmos_h, atmos_aspeed)</f>
        <v>1097.0924263702484</v>
      </c>
      <c r="D8" s="23" cm="1">
        <f t="array" ref="D8">Linterp($A8,atmos_h, atmos_qms)</f>
        <v>1232.6219176827112</v>
      </c>
      <c r="E8" s="23">
        <v>1</v>
      </c>
      <c r="F8" s="23">
        <f>G8*0.5*B8*H8*H8*'BD-5J Details'!$D$5/'BD-5J Details'!$H$6</f>
        <v>1.0000000000000002</v>
      </c>
      <c r="G8">
        <f>'BD-5J Details'!$G$10</f>
        <v>1.35</v>
      </c>
      <c r="H8" s="2">
        <f>SQRT(2*'BD-5J Details'!$H$6*'HW#7 Calculations'!E8/('HW#7 Calculations'!B8*'BD-5J Details'!$D$5*'BD-5J Details'!$G$10))</f>
        <v>131.23515706372643</v>
      </c>
      <c r="I8" s="51">
        <f t="shared" si="0"/>
        <v>0.11962087597115267</v>
      </c>
      <c r="J8" s="2" cm="1">
        <f t="array" ref="J8">$D$3*POWER('BD-5J Details'!$D$11/Linterp($A$3,atmos_h,atmos_vela),2)</f>
        <v>228.89619148156612</v>
      </c>
      <c r="K8" s="1">
        <f t="shared" si="1"/>
        <v>0.43092762958044256</v>
      </c>
      <c r="L8">
        <f>'BD-5J Details'!$D$12</f>
        <v>0.55000000000000004</v>
      </c>
      <c r="M8" s="1">
        <f t="shared" si="2"/>
        <v>0.43092762958044256</v>
      </c>
      <c r="O8" cm="1">
        <f t="array" ref="O8">P8/Linterp(Q$2,atmos_h,atmos_aspeed)</f>
        <v>0.1153838947006474</v>
      </c>
      <c r="P8" s="2">
        <f t="shared" si="9"/>
        <v>128.8203492385378</v>
      </c>
      <c r="Q8" cm="1">
        <f t="array" ref="Q8">max_CL*0.5*Linterp($Q$2,atmos_h,atmos_rho)*P8*P8*S/W</f>
        <v>1.1182251712409745</v>
      </c>
      <c r="R8">
        <f t="shared" si="6"/>
        <v>-1.1182251712409745</v>
      </c>
      <c r="S8">
        <f t="shared" si="7"/>
        <v>1.1182251712409745</v>
      </c>
      <c r="T8">
        <f t="shared" si="3"/>
        <v>-1.1182251712409745</v>
      </c>
      <c r="V8" cm="1">
        <f t="array" ref="V8">W8/Linterp(X$2,atmos_h,atmos_aspeed)</f>
        <v>0.10837297728501301</v>
      </c>
      <c r="W8" s="2">
        <f t="shared" si="10"/>
        <v>116.75964863341386</v>
      </c>
      <c r="X8" cm="1">
        <f t="array" ref="X8">max_CL*0.5*Linterp($X$2,atmos_h,atmos_rho)*W8*W8*S/W</f>
        <v>0.67839135137167861</v>
      </c>
      <c r="Y8">
        <f t="shared" si="8"/>
        <v>-0.67839135137167861</v>
      </c>
      <c r="Z8">
        <f t="shared" si="4"/>
        <v>0.67839135137167861</v>
      </c>
      <c r="AA8">
        <f t="shared" si="5"/>
        <v>-0.67839135137167861</v>
      </c>
    </row>
    <row r="9" spans="1:27" x14ac:dyDescent="0.25">
      <c r="A9">
        <v>6000</v>
      </c>
      <c r="B9" cm="1">
        <f t="array" ref="B9">Linterp(A9,atmos_h, atmos_rho)</f>
        <v>1.9867282888256497E-3</v>
      </c>
      <c r="C9" s="23" cm="1">
        <f t="array" ref="C9">Linterp($A9,atmos_h, atmos_aspeed)</f>
        <v>1093.1797793129685</v>
      </c>
      <c r="D9" s="23" cm="1">
        <f t="array" ref="D9">Linterp($A9,atmos_h, atmos_qms)</f>
        <v>1187.1854390008114</v>
      </c>
      <c r="E9" s="23">
        <v>1</v>
      </c>
      <c r="F9" s="23">
        <f>G9*0.5*B9*H9*H9*'BD-5J Details'!$D$5/'BD-5J Details'!$H$6</f>
        <v>1</v>
      </c>
      <c r="G9">
        <f>'BD-5J Details'!$G$10</f>
        <v>1.35</v>
      </c>
      <c r="H9" s="2">
        <f>SQRT(2*'BD-5J Details'!$H$6*'HW#7 Calculations'!E9/('HW#7 Calculations'!B9*'BD-5J Details'!$D$5*'BD-5J Details'!$G$10))</f>
        <v>133.24601534526559</v>
      </c>
      <c r="I9" s="51">
        <f t="shared" si="0"/>
        <v>0.12188847421693695</v>
      </c>
      <c r="J9" s="2" cm="1">
        <f t="array" ref="J9">$D$3*POWER('BD-5J Details'!$D$11/Linterp($A$3,atmos_h,atmos_vela),2)</f>
        <v>228.89619148156612</v>
      </c>
      <c r="K9" s="1">
        <f t="shared" si="1"/>
        <v>0.43909652760065299</v>
      </c>
      <c r="L9">
        <f>'BD-5J Details'!$D$12</f>
        <v>0.55000000000000004</v>
      </c>
      <c r="M9" s="1">
        <f t="shared" si="2"/>
        <v>0.43909652760065299</v>
      </c>
      <c r="O9" cm="1">
        <f t="array" ref="O9">P9/Linterp(Q$2,atmos_h,atmos_aspeed)</f>
        <v>0.13240212211790747</v>
      </c>
      <c r="P9" s="2">
        <f t="shared" si="9"/>
        <v>147.8203492385378</v>
      </c>
      <c r="Q9" cm="1">
        <f t="array" ref="Q9">max_CL*0.5*Linterp($Q$2,atmos_h,atmos_rho)*P9*P9*S/W</f>
        <v>1.4724100313213329</v>
      </c>
      <c r="R9">
        <f t="shared" si="6"/>
        <v>-1.4724100313213329</v>
      </c>
      <c r="S9">
        <f t="shared" si="7"/>
        <v>1.4724100313213329</v>
      </c>
      <c r="T9">
        <f t="shared" si="3"/>
        <v>-1.4724100313213329</v>
      </c>
      <c r="V9" cm="1">
        <f t="array" ref="V9">W9/Linterp(X$2,atmos_h,atmos_aspeed)</f>
        <v>0.12229554966598186</v>
      </c>
      <c r="W9" s="2">
        <f t="shared" si="10"/>
        <v>131.75964863341386</v>
      </c>
      <c r="X9" cm="1">
        <f t="array" ref="X9">max_CL*0.5*Linterp($X$2,atmos_h,atmos_rho)*W9*W9*S/W</f>
        <v>0.86389229353821229</v>
      </c>
      <c r="Y9">
        <f t="shared" si="8"/>
        <v>-0.86389229353821229</v>
      </c>
      <c r="Z9">
        <f t="shared" si="4"/>
        <v>0.86389229353821229</v>
      </c>
      <c r="AA9">
        <f t="shared" si="5"/>
        <v>-0.86389229353821229</v>
      </c>
    </row>
    <row r="10" spans="1:27" x14ac:dyDescent="0.25">
      <c r="A10">
        <v>7000</v>
      </c>
      <c r="B10" cm="1">
        <f t="array" ref="B10">Linterp(A10,atmos_h, atmos_rho)</f>
        <v>1.9267942754137755E-3</v>
      </c>
      <c r="C10" s="23" cm="1">
        <f t="array" ref="C10">Linterp($A10,atmos_h, atmos_aspeed)</f>
        <v>1089.2530779385215</v>
      </c>
      <c r="D10" s="23" cm="1">
        <f t="array" ref="D10">Linterp($A10,atmos_h, atmos_qms)</f>
        <v>1143.1147924196193</v>
      </c>
      <c r="E10" s="23">
        <v>1</v>
      </c>
      <c r="F10" s="23">
        <f>G10*0.5*B10*H10*H10*'BD-5J Details'!$D$5/'BD-5J Details'!$H$6</f>
        <v>1.0000000000000002</v>
      </c>
      <c r="G10">
        <f>'BD-5J Details'!$G$10</f>
        <v>1.35</v>
      </c>
      <c r="H10" s="2">
        <f>SQRT(2*'BD-5J Details'!$H$6*'HW#7 Calculations'!E10/('HW#7 Calculations'!B10*'BD-5J Details'!$D$5*'BD-5J Details'!$G$10))</f>
        <v>135.30249175512856</v>
      </c>
      <c r="I10" s="51">
        <f t="shared" si="0"/>
        <v>0.1242158452388281</v>
      </c>
      <c r="J10" s="2" cm="1">
        <f t="array" ref="J10">$D$3*POWER('BD-5J Details'!$D$11/Linterp($A$3,atmos_h,atmos_vela),2)</f>
        <v>228.89619148156612</v>
      </c>
      <c r="K10" s="1">
        <f t="shared" si="1"/>
        <v>0.44748075376080615</v>
      </c>
      <c r="L10">
        <f>'BD-5J Details'!$D$12</f>
        <v>0.55000000000000004</v>
      </c>
      <c r="M10" s="1">
        <f t="shared" si="2"/>
        <v>0.44748075376080615</v>
      </c>
      <c r="O10" cm="1">
        <f t="array" ref="O10">P10/Linterp(Q$2,atmos_h,atmos_aspeed)</f>
        <v>0.14942034953516753</v>
      </c>
      <c r="P10" s="2">
        <f t="shared" si="9"/>
        <v>166.8203492385378</v>
      </c>
      <c r="Q10" cm="1">
        <f t="array" ref="Q10">max_CL*0.5*Linterp($Q$2,atmos_h,atmos_rho)*P10*P10*S/W</f>
        <v>1.8752465350576917</v>
      </c>
      <c r="R10">
        <f t="shared" si="6"/>
        <v>-1.8752465350576917</v>
      </c>
      <c r="S10">
        <f t="shared" si="7"/>
        <v>1.8752465350576917</v>
      </c>
      <c r="T10">
        <f t="shared" si="3"/>
        <v>-1.5</v>
      </c>
      <c r="V10" cm="1">
        <f t="array" ref="V10">W10/Linterp(X$2,atmos_h,atmos_aspeed)</f>
        <v>0.13621812204695072</v>
      </c>
      <c r="W10" s="2">
        <f t="shared" si="10"/>
        <v>146.75964863341386</v>
      </c>
      <c r="X10" cm="1">
        <f t="array" ref="X10">max_CL*0.5*Linterp($X$2,atmos_h,atmos_rho)*W10*W10*S/W</f>
        <v>1.0717859767361235</v>
      </c>
      <c r="Y10">
        <f t="shared" si="8"/>
        <v>-1.0717859767361235</v>
      </c>
      <c r="Z10">
        <f t="shared" si="4"/>
        <v>1.0717859767361235</v>
      </c>
      <c r="AA10">
        <f t="shared" si="5"/>
        <v>-1.0717859767361235</v>
      </c>
    </row>
    <row r="11" spans="1:27" x14ac:dyDescent="0.25">
      <c r="A11">
        <v>8000</v>
      </c>
      <c r="B11" cm="1">
        <f t="array" ref="B11">Linterp(A11,atmos_h, atmos_rho)</f>
        <v>1.8682534064436197E-3</v>
      </c>
      <c r="C11" s="23" cm="1">
        <f t="array" ref="C11">Linterp($A11,atmos_h, atmos_aspeed)</f>
        <v>1085.3121696997296</v>
      </c>
      <c r="D11" s="23" cm="1">
        <f t="array" ref="D11">Linterp($A11,atmos_h, atmos_qms)</f>
        <v>1100.3783428809038</v>
      </c>
      <c r="E11" s="23">
        <v>1</v>
      </c>
      <c r="F11" s="23">
        <f>G11*0.5*B11*H11*H11*'BD-5J Details'!$D$5/'BD-5J Details'!$H$6</f>
        <v>1.0000000000000002</v>
      </c>
      <c r="G11">
        <f>'BD-5J Details'!$G$10</f>
        <v>1.35</v>
      </c>
      <c r="H11" s="2">
        <f>SQRT(2*'BD-5J Details'!$H$6*'HW#7 Calculations'!E11/('HW#7 Calculations'!B11*'BD-5J Details'!$D$5*'BD-5J Details'!$G$10))</f>
        <v>137.40596198772019</v>
      </c>
      <c r="I11" s="51">
        <f t="shared" si="0"/>
        <v>0.126605013584005</v>
      </c>
      <c r="J11" s="2" cm="1">
        <f t="array" ref="J11">$D$3*POWER('BD-5J Details'!$D$11/Linterp($A$3,atmos_h,atmos_vela),2)</f>
        <v>228.89619148156612</v>
      </c>
      <c r="K11" s="1">
        <f t="shared" si="1"/>
        <v>0.45608760138081517</v>
      </c>
      <c r="L11">
        <f>'BD-5J Details'!$D$12</f>
        <v>0.55000000000000004</v>
      </c>
      <c r="M11" s="1">
        <f t="shared" si="2"/>
        <v>0.45608760138081517</v>
      </c>
      <c r="O11" cm="1">
        <f t="array" ref="O11">P11/Linterp(Q$2,atmos_h,atmos_aspeed)</f>
        <v>0.16643857695242759</v>
      </c>
      <c r="P11" s="2">
        <f t="shared" si="9"/>
        <v>185.8203492385378</v>
      </c>
      <c r="Q11" cm="1">
        <f t="array" ref="Q11">max_CL*0.5*Linterp($Q$2,atmos_h,atmos_rho)*P11*P11*S/W</f>
        <v>2.3267346824500499</v>
      </c>
      <c r="R11">
        <f t="shared" si="6"/>
        <v>-2.3267346824500499</v>
      </c>
      <c r="S11">
        <f t="shared" si="7"/>
        <v>2.3267346824500499</v>
      </c>
      <c r="T11">
        <f t="shared" si="3"/>
        <v>-1.5</v>
      </c>
      <c r="V11" cm="1">
        <f t="array" ref="V11">W11/Linterp(X$2,atmos_h,atmos_aspeed)</f>
        <v>0.15014069442791955</v>
      </c>
      <c r="W11" s="2">
        <f t="shared" si="10"/>
        <v>161.75964863341386</v>
      </c>
      <c r="X11" cm="1">
        <f t="array" ref="X11">max_CL*0.5*Linterp($X$2,atmos_h,atmos_rho)*W11*W11*S/W</f>
        <v>1.3020724009654123</v>
      </c>
      <c r="Y11">
        <f t="shared" si="8"/>
        <v>-1.3020724009654123</v>
      </c>
      <c r="Z11">
        <f t="shared" si="4"/>
        <v>1.3020724009654123</v>
      </c>
      <c r="AA11">
        <f t="shared" si="5"/>
        <v>-1.3020724009654123</v>
      </c>
    </row>
    <row r="12" spans="1:27" x14ac:dyDescent="0.25">
      <c r="A12">
        <v>9000</v>
      </c>
      <c r="B12" cm="1">
        <f t="array" ref="B12">Linterp(A12,atmos_h, atmos_rho)</f>
        <v>1.8110830820081394E-3</v>
      </c>
      <c r="C12" s="23" cm="1">
        <f t="array" ref="C12">Linterp($A12,atmos_h, atmos_aspeed)</f>
        <v>1081.3568992696751</v>
      </c>
      <c r="D12" s="23" cm="1">
        <f t="array" ref="D12">Linterp($A12,atmos_h, atmos_qms)</f>
        <v>1058.9449666765233</v>
      </c>
      <c r="E12" s="23">
        <v>1</v>
      </c>
      <c r="F12" s="23">
        <f>G12*0.5*B12*H12*H12*'BD-5J Details'!$D$5/'BD-5J Details'!$H$6</f>
        <v>1.0000000000000002</v>
      </c>
      <c r="G12">
        <f>'BD-5J Details'!$G$10</f>
        <v>1.35</v>
      </c>
      <c r="H12" s="2">
        <f>SQRT(2*'BD-5J Details'!$H$6*'HW#7 Calculations'!E12/('HW#7 Calculations'!B12*'BD-5J Details'!$D$5*'BD-5J Details'!$G$10))</f>
        <v>139.55785365267906</v>
      </c>
      <c r="I12" s="51">
        <f t="shared" si="0"/>
        <v>0.12905808780332692</v>
      </c>
      <c r="J12" s="2" cm="1">
        <f t="array" ref="J12">$D$3*POWER('BD-5J Details'!$D$11/Linterp($A$3,atmos_h,atmos_vela),2)</f>
        <v>228.89619148156612</v>
      </c>
      <c r="K12" s="1">
        <f t="shared" si="1"/>
        <v>0.46492466639923391</v>
      </c>
      <c r="L12">
        <f>'BD-5J Details'!$D$12</f>
        <v>0.55000000000000004</v>
      </c>
      <c r="M12" s="1">
        <f t="shared" si="2"/>
        <v>0.46492466639923391</v>
      </c>
      <c r="O12" cm="1">
        <f t="array" ref="O12">P12/Linterp(Q$2,atmos_h,atmos_aspeed)</f>
        <v>0.18345680436968767</v>
      </c>
      <c r="P12" s="2">
        <f t="shared" si="9"/>
        <v>204.8203492385378</v>
      </c>
      <c r="Q12" cm="1">
        <f t="array" ref="Q12">max_CL*0.5*Linterp($Q$2,atmos_h,atmos_rho)*P12*P12*S/W</f>
        <v>2.8268744734984081</v>
      </c>
      <c r="R12">
        <f t="shared" si="6"/>
        <v>-2.8268744734984081</v>
      </c>
      <c r="S12">
        <f t="shared" si="7"/>
        <v>2.8268744734984081</v>
      </c>
      <c r="T12">
        <f t="shared" si="3"/>
        <v>-1.5</v>
      </c>
      <c r="V12" cm="1">
        <f t="array" ref="V12">W12/Linterp(X$2,atmos_h,atmos_aspeed)</f>
        <v>0.16406326680888841</v>
      </c>
      <c r="W12" s="2">
        <f t="shared" si="10"/>
        <v>176.75964863341386</v>
      </c>
      <c r="X12" cm="1">
        <f t="array" ref="X12">max_CL*0.5*Linterp($X$2,atmos_h,atmos_rho)*W12*W12*S/W</f>
        <v>1.5547515662260785</v>
      </c>
      <c r="Y12">
        <f t="shared" si="8"/>
        <v>-1.5547515662260785</v>
      </c>
      <c r="Z12">
        <f t="shared" si="4"/>
        <v>1.5547515662260785</v>
      </c>
      <c r="AA12">
        <f t="shared" si="5"/>
        <v>-1.5</v>
      </c>
    </row>
    <row r="13" spans="1:27" x14ac:dyDescent="0.25">
      <c r="A13">
        <v>10000</v>
      </c>
      <c r="B13" cm="1">
        <f t="array" ref="B13">Linterp(A13,atmos_h, atmos_rho)</f>
        <v>1.7552609078093325E-3</v>
      </c>
      <c r="C13" s="23" cm="1">
        <f t="array" ref="C13">Linterp($A13,atmos_h, atmos_aspeed)</f>
        <v>1077.3871084702648</v>
      </c>
      <c r="D13" s="23" cm="1">
        <f t="array" ref="D13">Linterp($A13,atmos_h, atmos_qms)</f>
        <v>1018.7840468130571</v>
      </c>
      <c r="E13" s="23">
        <v>1</v>
      </c>
      <c r="F13" s="23">
        <f>G13*0.5*B13*H13*H13*'BD-5J Details'!$D$5/'BD-5J Details'!$H$6</f>
        <v>1.0000000000000002</v>
      </c>
      <c r="G13">
        <f>'BD-5J Details'!$G$10</f>
        <v>1.35</v>
      </c>
      <c r="H13" s="2">
        <f>SQRT(2*'BD-5J Details'!$H$6*'HW#7 Calculations'!E13/('HW#7 Calculations'!B13*'BD-5J Details'!$D$5*'BD-5J Details'!$G$10))</f>
        <v>141.75964863341386</v>
      </c>
      <c r="I13" s="51">
        <f t="shared" si="0"/>
        <v>0.13157726458662777</v>
      </c>
      <c r="J13" s="2" cm="1">
        <f t="array" ref="J13">$D$3*POWER('BD-5J Details'!$D$11/Linterp($A$3,atmos_h,atmos_vela),2)</f>
        <v>228.89619148156612</v>
      </c>
      <c r="K13" s="1">
        <f t="shared" si="1"/>
        <v>0.47399986227042717</v>
      </c>
      <c r="L13">
        <f>'BD-5J Details'!$D$12</f>
        <v>0.55000000000000004</v>
      </c>
      <c r="M13" s="1">
        <f t="shared" si="2"/>
        <v>0.47399986227042717</v>
      </c>
      <c r="O13" cm="1">
        <f t="array" ref="O13">P13/Linterp(Q$2,atmos_h,atmos_aspeed)</f>
        <v>0.20047503178694773</v>
      </c>
      <c r="P13" s="2">
        <f t="shared" si="9"/>
        <v>223.8203492385378</v>
      </c>
      <c r="Q13" cm="1">
        <f t="array" ref="Q13">max_CL*0.5*Linterp($Q$2,atmos_h,atmos_rho)*P13*P13*S/W</f>
        <v>3.3756659082027674</v>
      </c>
      <c r="R13">
        <f t="shared" si="6"/>
        <v>-3.3756659082027674</v>
      </c>
      <c r="S13">
        <f t="shared" si="7"/>
        <v>3.3756659082027674</v>
      </c>
      <c r="T13">
        <f t="shared" si="3"/>
        <v>-1.5</v>
      </c>
      <c r="V13" cm="1">
        <f t="array" ref="V13">W13/Linterp(X$2,atmos_h,atmos_aspeed)</f>
        <v>0.17798583918985728</v>
      </c>
      <c r="W13" s="2">
        <f t="shared" si="10"/>
        <v>191.75964863341386</v>
      </c>
      <c r="X13" cm="1">
        <f t="array" ref="X13">max_CL*0.5*Linterp($X$2,atmos_h,atmos_rho)*W13*W13*S/W</f>
        <v>1.8298234725181224</v>
      </c>
      <c r="Y13">
        <f t="shared" si="8"/>
        <v>-1.8298234725181224</v>
      </c>
      <c r="Z13">
        <f t="shared" si="4"/>
        <v>1.8298234725181224</v>
      </c>
      <c r="AA13">
        <f t="shared" si="5"/>
        <v>-1.5</v>
      </c>
    </row>
    <row r="14" spans="1:27" x14ac:dyDescent="0.25">
      <c r="A14">
        <v>11000</v>
      </c>
      <c r="B14" cm="1">
        <f t="array" ref="B14">Linterp(A14,atmos_h, atmos_rho)</f>
        <v>1.7007646947739493E-3</v>
      </c>
      <c r="C14" s="23" cm="1">
        <f t="array" ref="C14">Linterp($A14,atmos_h, atmos_aspeed)</f>
        <v>1073.4026361984163</v>
      </c>
      <c r="D14" s="23" cm="1">
        <f t="array" ref="D14">Linterp($A14,atmos_h, atmos_qms)</f>
        <v>979.86546838508127</v>
      </c>
      <c r="E14" s="23">
        <v>1</v>
      </c>
      <c r="F14" s="23">
        <f>G14*0.5*B14*H14*H14*'BD-5J Details'!$D$5/'BD-5J Details'!$H$6</f>
        <v>1</v>
      </c>
      <c r="G14">
        <f>'BD-5J Details'!$G$10</f>
        <v>1.35</v>
      </c>
      <c r="H14" s="2">
        <f>SQRT(2*'BD-5J Details'!$H$6*'HW#7 Calculations'!E14/('HW#7 Calculations'!B14*'BD-5J Details'!$D$5*'BD-5J Details'!$G$10))</f>
        <v>144.01288557120407</v>
      </c>
      <c r="I14" s="51">
        <f t="shared" si="0"/>
        <v>0.13416483313404456</v>
      </c>
      <c r="J14" s="2" cm="1">
        <f t="array" ref="J14">$D$3*POWER('BD-5J Details'!$D$11/Linterp($A$3,atmos_h,atmos_vela),2)</f>
        <v>228.89619148156612</v>
      </c>
      <c r="K14" s="1">
        <f t="shared" si="1"/>
        <v>0.48332143571204061</v>
      </c>
      <c r="L14">
        <f>'BD-5J Details'!$D$12</f>
        <v>0.55000000000000004</v>
      </c>
      <c r="M14" s="1">
        <f t="shared" si="2"/>
        <v>0.48332143571204061</v>
      </c>
      <c r="O14" cm="1">
        <f t="array" ref="O14">P14/Linterp(Q$2,atmos_h,atmos_aspeed)</f>
        <v>0.21749325920420778</v>
      </c>
      <c r="P14" s="2">
        <f t="shared" si="9"/>
        <v>242.8203492385378</v>
      </c>
      <c r="Q14" cm="1">
        <f t="array" ref="Q14">max_CL*0.5*Linterp($Q$2,atmos_h,atmos_rho)*P14*P14*S/W</f>
        <v>3.9731089865631257</v>
      </c>
      <c r="R14">
        <f t="shared" si="6"/>
        <v>-3.9731089865631257</v>
      </c>
      <c r="S14">
        <f t="shared" si="7"/>
        <v>3.9731089865631257</v>
      </c>
      <c r="T14">
        <f t="shared" si="3"/>
        <v>-1.5</v>
      </c>
      <c r="V14" cm="1">
        <f t="array" ref="V14">W14/Linterp(X$2,atmos_h,atmos_aspeed)</f>
        <v>0.19190841157082611</v>
      </c>
      <c r="W14" s="2">
        <f t="shared" si="10"/>
        <v>206.75964863341386</v>
      </c>
      <c r="X14" cm="1">
        <f t="array" ref="X14">max_CL*0.5*Linterp($X$2,atmos_h,atmos_rho)*W14*W14*S/W</f>
        <v>2.1272881198415443</v>
      </c>
      <c r="Y14">
        <f t="shared" si="8"/>
        <v>-2.1272881198415443</v>
      </c>
      <c r="Z14">
        <f t="shared" si="4"/>
        <v>2.1272881198415443</v>
      </c>
      <c r="AA14">
        <f t="shared" si="5"/>
        <v>-1.5</v>
      </c>
    </row>
    <row r="15" spans="1:27" x14ac:dyDescent="0.25">
      <c r="A15">
        <v>12000</v>
      </c>
      <c r="B15" cm="1">
        <f t="array" ref="B15">Linterp(A15,atmos_h, atmos_rho)</f>
        <v>1.6475724586670949E-3</v>
      </c>
      <c r="C15" s="23" cm="1">
        <f t="array" ref="C15">Linterp($A15,atmos_h, atmos_aspeed)</f>
        <v>1069.4033183497709</v>
      </c>
      <c r="D15" s="23" cm="1">
        <f t="array" ref="D15">Linterp($A15,atmos_h, atmos_qms)</f>
        <v>942.15961395711804</v>
      </c>
      <c r="E15" s="23">
        <v>1</v>
      </c>
      <c r="F15" s="23">
        <f>G15*0.5*B15*H15*H15*'BD-5J Details'!$D$5/'BD-5J Details'!$H$6</f>
        <v>1.0000000000000002</v>
      </c>
      <c r="G15">
        <f>'BD-5J Details'!$G$10</f>
        <v>1.35</v>
      </c>
      <c r="H15" s="2">
        <f>SQRT(2*'BD-5J Details'!$H$6*'HW#7 Calculations'!E15/('HW#7 Calculations'!B15*'BD-5J Details'!$D$5*'BD-5J Details'!$G$10))</f>
        <v>146.31916248254566</v>
      </c>
      <c r="I15" s="51">
        <f t="shared" si="0"/>
        <v>0.13682317977873423</v>
      </c>
      <c r="J15" s="2" cm="1">
        <f t="array" ref="J15">$D$3*POWER('BD-5J Details'!$D$11/Linterp($A$3,atmos_h,atmos_vela),2)</f>
        <v>228.89619148156612</v>
      </c>
      <c r="K15" s="1">
        <f t="shared" si="1"/>
        <v>0.49289798335808438</v>
      </c>
      <c r="L15">
        <f>'BD-5J Details'!$D$12</f>
        <v>0.55000000000000004</v>
      </c>
      <c r="M15" s="1">
        <f t="shared" si="2"/>
        <v>0.49289798335808438</v>
      </c>
      <c r="O15" cm="1">
        <f t="array" ref="O15">P15/Linterp(Q$2,atmos_h,atmos_aspeed)</f>
        <v>0.23451148662146787</v>
      </c>
      <c r="P15" s="2">
        <f t="shared" si="9"/>
        <v>261.8203492385378</v>
      </c>
      <c r="Q15" cm="1">
        <f t="array" ref="Q15">max_CL*0.5*Linterp($Q$2,atmos_h,atmos_rho)*P15*P15*S/W</f>
        <v>4.6192037085794837</v>
      </c>
      <c r="R15">
        <f t="shared" si="6"/>
        <v>-4.6192037085794837</v>
      </c>
      <c r="S15">
        <f t="shared" si="7"/>
        <v>4.6192037085794837</v>
      </c>
      <c r="T15">
        <f t="shared" si="3"/>
        <v>-1.5</v>
      </c>
      <c r="V15" cm="1">
        <f t="array" ref="V15">W15/Linterp(X$2,atmos_h,atmos_aspeed)</f>
        <v>0.20583098395179497</v>
      </c>
      <c r="W15" s="2">
        <f t="shared" si="10"/>
        <v>221.75964863341386</v>
      </c>
      <c r="X15" cm="1">
        <f t="array" ref="X15">max_CL*0.5*Linterp($X$2,atmos_h,atmos_rho)*W15*W15*S/W</f>
        <v>2.4471455081963431</v>
      </c>
      <c r="Y15">
        <f t="shared" si="8"/>
        <v>-2.4471455081963431</v>
      </c>
      <c r="Z15">
        <f t="shared" si="4"/>
        <v>2.4471455081963431</v>
      </c>
      <c r="AA15">
        <f t="shared" si="5"/>
        <v>-1.5</v>
      </c>
    </row>
    <row r="16" spans="1:27" x14ac:dyDescent="0.25">
      <c r="A16">
        <v>13000</v>
      </c>
      <c r="B16" cm="1">
        <f t="array" ref="B16">Linterp(A16,atmos_h, atmos_rho)</f>
        <v>1.5956624197037046E-3</v>
      </c>
      <c r="C16" s="23" cm="1">
        <f t="array" ref="C16">Linterp($A16,atmos_h, atmos_aspeed)</f>
        <v>1065.3889877398271</v>
      </c>
      <c r="D16" s="23" cm="1">
        <f t="array" ref="D16">Linterp($A16,atmos_h, atmos_qms)</f>
        <v>905.63735895431057</v>
      </c>
      <c r="E16" s="23">
        <v>1</v>
      </c>
      <c r="F16" s="23">
        <f>G16*0.5*B16*H16*H16*'BD-5J Details'!$D$5/'BD-5J Details'!$H$6</f>
        <v>1</v>
      </c>
      <c r="G16">
        <f>'BD-5J Details'!$G$10</f>
        <v>1.35</v>
      </c>
      <c r="H16" s="2">
        <f>SQRT(2*'BD-5J Details'!$H$6*'HW#7 Calculations'!E16/('HW#7 Calculations'!B16*'BD-5J Details'!$D$5*'BD-5J Details'!$G$10))</f>
        <v>148.68013951795288</v>
      </c>
      <c r="I16" s="51">
        <f t="shared" si="0"/>
        <v>0.13955479287745487</v>
      </c>
      <c r="J16" s="2" cm="1">
        <f t="array" ref="J16">$D$3*POWER('BD-5J Details'!$D$11/Linterp($A$3,atmos_h,atmos_vela),2)</f>
        <v>228.89619148156612</v>
      </c>
      <c r="K16" s="1">
        <f t="shared" si="1"/>
        <v>0.50273846937698341</v>
      </c>
      <c r="L16">
        <f>'BD-5J Details'!$D$12</f>
        <v>0.55000000000000004</v>
      </c>
      <c r="M16" s="1">
        <f t="shared" si="2"/>
        <v>0.50273846937698341</v>
      </c>
      <c r="O16" cm="1">
        <f t="array" ref="O16">P16/Linterp(Q$2,atmos_h,atmos_aspeed)</f>
        <v>0.25152971403872793</v>
      </c>
      <c r="P16" s="2">
        <f t="shared" si="9"/>
        <v>280.8203492385378</v>
      </c>
      <c r="Q16" cm="1">
        <f t="array" ref="Q16">max_CL*0.5*Linterp($Q$2,atmos_h,atmos_rho)*P16*P16*S/W</f>
        <v>5.3139500742518431</v>
      </c>
      <c r="R16">
        <f t="shared" si="6"/>
        <v>-5.3139500742518431</v>
      </c>
      <c r="S16">
        <f t="shared" si="7"/>
        <v>5.3139500742518431</v>
      </c>
      <c r="T16">
        <f t="shared" si="3"/>
        <v>-1.5</v>
      </c>
      <c r="V16" cm="1">
        <f t="array" ref="V16">W16/Linterp(X$2,atmos_h,atmos_aspeed)</f>
        <v>0.21975355633276381</v>
      </c>
      <c r="W16" s="2">
        <f t="shared" si="10"/>
        <v>236.75964863341386</v>
      </c>
      <c r="X16" cm="1">
        <f t="array" ref="X16">max_CL*0.5*Linterp($X$2,atmos_h,atmos_rho)*W16*W16*S/W</f>
        <v>2.7893956375825195</v>
      </c>
      <c r="Y16">
        <f t="shared" si="8"/>
        <v>-2.7893956375825195</v>
      </c>
      <c r="Z16">
        <f t="shared" si="4"/>
        <v>2.7893956375825195</v>
      </c>
      <c r="AA16">
        <f t="shared" si="5"/>
        <v>-1.5</v>
      </c>
    </row>
    <row r="17" spans="1:27" x14ac:dyDescent="0.25">
      <c r="A17">
        <v>14000</v>
      </c>
      <c r="B17" cm="1">
        <f t="array" ref="B17">Linterp(A17,atmos_h, atmos_rho)</f>
        <v>1.5450130021578657E-3</v>
      </c>
      <c r="C17" s="23" cm="1">
        <f t="array" ref="C17">Linterp($A17,atmos_h, atmos_aspeed)</f>
        <v>1061.3594740223903</v>
      </c>
      <c r="D17" s="23" cm="1">
        <f t="array" ref="D17">Linterp($A17,atmos_h, atmos_qms)</f>
        <v>870.27006706187728</v>
      </c>
      <c r="E17" s="23">
        <v>1</v>
      </c>
      <c r="F17" s="23">
        <f>G17*0.5*B17*H17*H17*'BD-5J Details'!$D$5/'BD-5J Details'!$H$6</f>
        <v>1.0000000000000002</v>
      </c>
      <c r="G17">
        <f>'BD-5J Details'!$G$10</f>
        <v>1.35</v>
      </c>
      <c r="H17" s="2">
        <f>SQRT(2*'BD-5J Details'!$H$6*'HW#7 Calculations'!E17/('HW#7 Calculations'!B17*'BD-5J Details'!$D$5*'BD-5J Details'!$G$10))</f>
        <v>151.09754187100054</v>
      </c>
      <c r="I17" s="51">
        <f t="shared" si="0"/>
        <v>0.14236226798670196</v>
      </c>
      <c r="J17" s="2" cm="1">
        <f t="array" ref="J17">$D$3*POWER('BD-5J Details'!$D$11/Linterp($A$3,atmos_h,atmos_vela),2)</f>
        <v>228.89619148156612</v>
      </c>
      <c r="K17" s="1">
        <f t="shared" si="1"/>
        <v>0.51285224411832264</v>
      </c>
      <c r="L17">
        <f>'BD-5J Details'!$D$12</f>
        <v>0.55000000000000004</v>
      </c>
      <c r="M17" s="1">
        <f t="shared" si="2"/>
        <v>0.51285224411832264</v>
      </c>
      <c r="O17" cm="1">
        <f t="array" ref="O17">P17/Linterp(Q$2,atmos_h,atmos_aspeed)</f>
        <v>0.26854794145598798</v>
      </c>
      <c r="P17" s="2">
        <f t="shared" si="9"/>
        <v>299.8203492385378</v>
      </c>
      <c r="Q17" cm="1">
        <f t="array" ref="Q17">max_CL*0.5*Linterp($Q$2,atmos_h,atmos_rho)*P17*P17*S/W</f>
        <v>6.0573480835802016</v>
      </c>
      <c r="R17">
        <f t="shared" si="6"/>
        <v>-6.0573480835802016</v>
      </c>
      <c r="S17">
        <f t="shared" si="7"/>
        <v>6</v>
      </c>
      <c r="T17">
        <f t="shared" si="3"/>
        <v>-1.5</v>
      </c>
      <c r="V17" cm="1">
        <f t="array" ref="V17">W17/Linterp(X$2,atmos_h,atmos_aspeed)</f>
        <v>0.23367612871373267</v>
      </c>
      <c r="W17" s="2">
        <f t="shared" si="10"/>
        <v>251.75964863341386</v>
      </c>
      <c r="X17" cm="1">
        <f t="array" ref="X17">max_CL*0.5*Linterp($X$2,atmos_h,atmos_rho)*W17*W17*S/W</f>
        <v>3.1540385080000739</v>
      </c>
      <c r="Y17">
        <f t="shared" si="8"/>
        <v>-3.1540385080000739</v>
      </c>
      <c r="Z17">
        <f t="shared" si="4"/>
        <v>3.1540385080000739</v>
      </c>
      <c r="AA17">
        <f t="shared" si="5"/>
        <v>-1.5</v>
      </c>
    </row>
    <row r="18" spans="1:27" x14ac:dyDescent="0.25">
      <c r="A18">
        <v>15000</v>
      </c>
      <c r="B18" cm="1">
        <f t="array" ref="B18">Linterp(A18,atmos_h, atmos_rho)</f>
        <v>1.4956028339699532E-3</v>
      </c>
      <c r="C18" s="23" cm="1">
        <f t="array" ref="C18">Linterp($A18,atmos_h, atmos_aspeed)</f>
        <v>1057.3146036052262</v>
      </c>
      <c r="D18" s="23" cm="1">
        <f t="array" ref="D18">Linterp($A18,atmos_h, atmos_qms)</f>
        <v>836.02958563338564</v>
      </c>
      <c r="E18" s="23">
        <v>1</v>
      </c>
      <c r="F18" s="23">
        <f>G18*0.5*B18*H18*H18*'BD-5J Details'!$D$5/'BD-5J Details'!$H$6</f>
        <v>1</v>
      </c>
      <c r="G18">
        <f>'BD-5J Details'!$G$10</f>
        <v>1.35</v>
      </c>
      <c r="H18" s="2">
        <f>SQRT(2*'BD-5J Details'!$H$6*'HW#7 Calculations'!E18/('HW#7 Calculations'!B18*'BD-5J Details'!$D$5*'BD-5J Details'!$G$10))</f>
        <v>153.57316284700815</v>
      </c>
      <c r="I18" s="51">
        <f t="shared" si="0"/>
        <v>0.1452483133434033</v>
      </c>
      <c r="J18" s="2" cm="1">
        <f t="array" ref="J18">$D$3*POWER('BD-5J Details'!$D$11/Linterp($A$3,atmos_h,atmos_vela),2)</f>
        <v>228.89619148156612</v>
      </c>
      <c r="K18" s="1">
        <f t="shared" si="1"/>
        <v>0.52324906385675096</v>
      </c>
      <c r="L18">
        <f>'BD-5J Details'!$D$12</f>
        <v>0.55000000000000004</v>
      </c>
      <c r="M18" s="1">
        <f t="shared" si="2"/>
        <v>0.52324906385675096</v>
      </c>
      <c r="O18" cm="1">
        <f t="array" ref="O18">P18/Linterp(Q$2,atmos_h,atmos_aspeed)</f>
        <v>0.28556616887324804</v>
      </c>
      <c r="P18" s="2">
        <f t="shared" si="9"/>
        <v>318.8203492385378</v>
      </c>
      <c r="Q18" cm="1">
        <f t="array" ref="Q18">max_CL*0.5*Linterp($Q$2,atmos_h,atmos_rho)*P18*P18*S/W</f>
        <v>6.8493977365645593</v>
      </c>
      <c r="R18">
        <f t="shared" si="6"/>
        <v>-6.8493977365645593</v>
      </c>
      <c r="S18">
        <f t="shared" si="7"/>
        <v>6</v>
      </c>
      <c r="T18">
        <f t="shared" si="3"/>
        <v>-1.5</v>
      </c>
      <c r="V18" cm="1">
        <f t="array" ref="V18">W18/Linterp(X$2,atmos_h,atmos_aspeed)</f>
        <v>0.24759870109470153</v>
      </c>
      <c r="W18" s="2">
        <f t="shared" si="10"/>
        <v>266.75964863341386</v>
      </c>
      <c r="X18" cm="1">
        <f t="array" ref="X18">max_CL*0.5*Linterp($X$2,atmos_h,atmos_rho)*W18*W18*S/W</f>
        <v>3.5410741194490054</v>
      </c>
      <c r="Y18">
        <f t="shared" si="8"/>
        <v>-3.5410741194490054</v>
      </c>
      <c r="Z18">
        <f t="shared" si="4"/>
        <v>3.5410741194490054</v>
      </c>
      <c r="AA18">
        <f t="shared" si="5"/>
        <v>-1.5</v>
      </c>
    </row>
    <row r="19" spans="1:27" x14ac:dyDescent="0.25">
      <c r="A19">
        <v>16000</v>
      </c>
      <c r="B19" cm="1">
        <f t="array" ref="B19">Linterp(A19,atmos_h, atmos_rho)</f>
        <v>1.4474107463515583E-3</v>
      </c>
      <c r="C19" s="23" cm="1">
        <f t="array" ref="C19">Linterp($A19,atmos_h, atmos_aspeed)</f>
        <v>1053.2541995627971</v>
      </c>
      <c r="D19" s="23" cm="1">
        <f t="array" ref="D19">Linterp($A19,atmos_h, atmos_qms)</f>
        <v>802.88824110790631</v>
      </c>
      <c r="E19" s="23">
        <v>1</v>
      </c>
      <c r="F19" s="23">
        <f>G19*0.5*B19*H19*H19*'BD-5J Details'!$D$5/'BD-5J Details'!$H$6</f>
        <v>0.99999999999999978</v>
      </c>
      <c r="G19">
        <f>'BD-5J Details'!$G$10</f>
        <v>1.35</v>
      </c>
      <c r="H19" s="2">
        <f>SQRT(2*'BD-5J Details'!$H$6*'HW#7 Calculations'!E19/('HW#7 Calculations'!B19*'BD-5J Details'!$D$5*'BD-5J Details'!$G$10))</f>
        <v>156.10886710143311</v>
      </c>
      <c r="I19" s="51">
        <f t="shared" si="0"/>
        <v>0.14821575567060019</v>
      </c>
      <c r="J19" s="2" cm="1">
        <f t="array" ref="J19">$D$3*POWER('BD-5J Details'!$D$11/Linterp($A$3,atmos_h,atmos_vela),2)</f>
        <v>228.89619148156612</v>
      </c>
      <c r="K19" s="1">
        <f t="shared" si="1"/>
        <v>0.53393911170662633</v>
      </c>
      <c r="L19">
        <f>'BD-5J Details'!$D$12</f>
        <v>0.55000000000000004</v>
      </c>
      <c r="M19" s="1">
        <f t="shared" si="2"/>
        <v>0.53393911170662633</v>
      </c>
      <c r="O19" cm="1">
        <f t="array" ref="O19">P19/Linterp(Q$2,atmos_h,atmos_aspeed)</f>
        <v>0.3025843962905081</v>
      </c>
      <c r="P19" s="2">
        <f t="shared" si="9"/>
        <v>337.8203492385378</v>
      </c>
      <c r="Q19" cm="1">
        <f t="array" ref="Q19">max_CL*0.5*Linterp($Q$2,atmos_h,atmos_rho)*P19*P19*S/W</f>
        <v>7.6900990332049179</v>
      </c>
      <c r="R19">
        <f t="shared" si="6"/>
        <v>-7.6900990332049179</v>
      </c>
      <c r="S19">
        <f t="shared" si="7"/>
        <v>6</v>
      </c>
      <c r="T19">
        <f t="shared" si="3"/>
        <v>-1.5</v>
      </c>
      <c r="V19" cm="1">
        <f t="array" ref="V19">W19/Linterp(X$2,atmos_h,atmos_aspeed)</f>
        <v>0.26152127347567039</v>
      </c>
      <c r="W19" s="2">
        <f t="shared" si="10"/>
        <v>281.75964863341386</v>
      </c>
      <c r="X19" cm="1">
        <f t="array" ref="X19">max_CL*0.5*Linterp($X$2,atmos_h,atmos_rho)*W19*W19*S/W</f>
        <v>3.9505024719293149</v>
      </c>
      <c r="Y19">
        <f t="shared" si="8"/>
        <v>-3.9505024719293149</v>
      </c>
      <c r="Z19">
        <f t="shared" si="4"/>
        <v>3.9505024719293149</v>
      </c>
      <c r="AA19">
        <f t="shared" si="5"/>
        <v>-1.5</v>
      </c>
    </row>
    <row r="20" spans="1:27" x14ac:dyDescent="0.25">
      <c r="A20">
        <v>17000</v>
      </c>
      <c r="B20" cm="1">
        <f t="array" ref="B20">Linterp(A20,atmos_h, atmos_rho)</f>
        <v>1.4004157733881653E-3</v>
      </c>
      <c r="C20" s="23" cm="1">
        <f t="array" ref="C20">Linterp($A20,atmos_h, atmos_aspeed)</f>
        <v>1049.1780815459595</v>
      </c>
      <c r="D20" s="23" cm="1">
        <f t="array" ref="D20">Linterp($A20,atmos_h, atmos_qms)</f>
        <v>770.81883443608046</v>
      </c>
      <c r="E20" s="23">
        <v>1</v>
      </c>
      <c r="F20" s="23">
        <f>G20*0.5*B20*H20*H20*'BD-5J Details'!$D$5/'BD-5J Details'!$H$6</f>
        <v>0.99999999999999978</v>
      </c>
      <c r="G20">
        <f>'BD-5J Details'!$G$10</f>
        <v>1.35</v>
      </c>
      <c r="H20" s="2">
        <f>SQRT(2*'BD-5J Details'!$H$6*'HW#7 Calculations'!E20/('HW#7 Calculations'!B20*'BD-5J Details'!$D$5*'BD-5J Details'!$G$10))</f>
        <v>158.70659405875944</v>
      </c>
      <c r="I20" s="51">
        <f t="shared" si="0"/>
        <v>0.15126754633008149</v>
      </c>
      <c r="J20" s="2" cm="1">
        <f t="array" ref="J20">$D$3*POWER('BD-5J Details'!$D$11/Linterp($A$3,atmos_h,atmos_vela),2)</f>
        <v>228.89619148156612</v>
      </c>
      <c r="K20" s="1">
        <f t="shared" si="1"/>
        <v>0.54493301978654329</v>
      </c>
      <c r="L20">
        <f>'BD-5J Details'!$D$12</f>
        <v>0.55000000000000004</v>
      </c>
      <c r="M20" s="1">
        <f t="shared" si="2"/>
        <v>0.54493301978654329</v>
      </c>
      <c r="O20" cm="1">
        <f t="array" ref="O20">P20/Linterp(Q$2,atmos_h,atmos_aspeed)</f>
        <v>0.31960262370776821</v>
      </c>
      <c r="P20" s="2">
        <f t="shared" si="9"/>
        <v>356.8203492385378</v>
      </c>
      <c r="Q20" cm="1">
        <f t="array" ref="Q20">max_CL*0.5*Linterp($Q$2,atmos_h,atmos_rho)*P20*P20*S/W</f>
        <v>8.5794519735012766</v>
      </c>
      <c r="R20">
        <f t="shared" si="6"/>
        <v>-8.5794519735012766</v>
      </c>
      <c r="S20">
        <f t="shared" si="7"/>
        <v>6</v>
      </c>
      <c r="T20">
        <f t="shared" si="3"/>
        <v>-1.5</v>
      </c>
      <c r="V20" cm="1">
        <f t="array" ref="V20">W20/Linterp(X$2,atmos_h,atmos_aspeed)</f>
        <v>0.27544384585663922</v>
      </c>
      <c r="W20" s="2">
        <f t="shared" si="10"/>
        <v>296.75964863341386</v>
      </c>
      <c r="X20" cm="1">
        <f t="array" ref="X20">max_CL*0.5*Linterp($X$2,atmos_h,atmos_rho)*W20*W20*S/W</f>
        <v>4.3823235654410011</v>
      </c>
      <c r="Y20">
        <f t="shared" si="8"/>
        <v>-4.3823235654410011</v>
      </c>
      <c r="Z20">
        <f t="shared" si="4"/>
        <v>4.3823235654410011</v>
      </c>
      <c r="AA20">
        <f t="shared" si="5"/>
        <v>-1.5</v>
      </c>
    </row>
    <row r="21" spans="1:27" x14ac:dyDescent="0.25">
      <c r="A21">
        <v>18000</v>
      </c>
      <c r="B21" cm="1">
        <f t="array" ref="B21">Linterp(A21,atmos_h, atmos_rho)</f>
        <v>1.3545971516395689E-3</v>
      </c>
      <c r="C21" s="23" cm="1">
        <f t="array" ref="C21">Linterp($A21,atmos_h, atmos_aspeed)</f>
        <v>1045.0860656884925</v>
      </c>
      <c r="D21" s="23" cm="1">
        <f t="array" ref="D21">Linterp($A21,atmos_h, atmos_qms)</f>
        <v>739.79463651517358</v>
      </c>
      <c r="E21" s="23">
        <v>1</v>
      </c>
      <c r="F21" s="23">
        <f>G21*0.5*B21*H21*H21*'BD-5J Details'!$D$5/'BD-5J Details'!$H$6</f>
        <v>1</v>
      </c>
      <c r="G21">
        <f>'BD-5J Details'!$G$10</f>
        <v>1.35</v>
      </c>
      <c r="H21" s="2">
        <f>SQRT(2*'BD-5J Details'!$H$6*'HW#7 Calculations'!E21/('HW#7 Calculations'!B21*'BD-5J Details'!$D$5*'BD-5J Details'!$G$10))</f>
        <v>161.36836152344245</v>
      </c>
      <c r="I21" s="51">
        <f t="shared" si="0"/>
        <v>0.15440676784560758</v>
      </c>
      <c r="J21" s="2" cm="1">
        <f t="array" ref="J21">$D$3*POWER('BD-5J Details'!$D$11/Linterp($A$3,atmos_h,atmos_vela),2)</f>
        <v>228.89619148156612</v>
      </c>
      <c r="K21" s="1">
        <f t="shared" si="1"/>
        <v>0.55624189271888858</v>
      </c>
      <c r="L21">
        <f>'BD-5J Details'!$D$12</f>
        <v>0.55000000000000004</v>
      </c>
      <c r="M21" s="1">
        <f t="shared" si="2"/>
        <v>0.55000000000000004</v>
      </c>
      <c r="O21" cm="1">
        <f t="array" ref="O21">P21/Linterp(Q$2,atmos_h,atmos_aspeed)</f>
        <v>0.33662085112502826</v>
      </c>
      <c r="P21" s="2">
        <f t="shared" si="9"/>
        <v>375.8203492385378</v>
      </c>
      <c r="Q21" cm="1">
        <f t="array" ref="Q21">max_CL*0.5*Linterp($Q$2,atmos_h,atmos_rho)*P21*P21*S/W</f>
        <v>9.5174565574536363</v>
      </c>
      <c r="R21">
        <f t="shared" si="6"/>
        <v>-9.5174565574536363</v>
      </c>
      <c r="S21">
        <f t="shared" si="7"/>
        <v>6</v>
      </c>
      <c r="T21">
        <f t="shared" si="3"/>
        <v>-1.5</v>
      </c>
      <c r="V21" cm="1">
        <f t="array" ref="V21">W21/Linterp(X$2,atmos_h,atmos_aspeed)</f>
        <v>0.28936641823760806</v>
      </c>
      <c r="W21" s="2">
        <f t="shared" si="10"/>
        <v>311.75964863341386</v>
      </c>
      <c r="X21" cm="1">
        <f t="array" ref="X21">max_CL*0.5*Linterp($X$2,atmos_h,atmos_rho)*W21*W21*S/W</f>
        <v>4.8365373999840662</v>
      </c>
      <c r="Y21">
        <f t="shared" si="8"/>
        <v>-4.8365373999840662</v>
      </c>
      <c r="Z21">
        <f t="shared" si="4"/>
        <v>4.8365373999840662</v>
      </c>
      <c r="AA21">
        <f t="shared" si="5"/>
        <v>-1.5</v>
      </c>
    </row>
    <row r="22" spans="1:27" x14ac:dyDescent="0.25">
      <c r="A22">
        <v>19000</v>
      </c>
      <c r="B22" cm="1">
        <f t="array" ref="B22">Linterp(A22,atmos_h, atmos_rho)</f>
        <v>1.3099343197379744E-3</v>
      </c>
      <c r="C22" s="23" cm="1">
        <f t="array" ref="C22">Linterp($A22,atmos_h, atmos_aspeed)</f>
        <v>1040.9779645103174</v>
      </c>
      <c r="D22" s="23" cm="1">
        <f t="array" ref="D22">Linterp($A22,atmos_h, atmos_qms)</f>
        <v>709.78938363314478</v>
      </c>
      <c r="E22" s="23">
        <v>1</v>
      </c>
      <c r="F22" s="23">
        <f>G22*0.5*B22*H22*H22*'BD-5J Details'!$D$5/'BD-5J Details'!$H$6</f>
        <v>1.0000000000000002</v>
      </c>
      <c r="G22">
        <f>'BD-5J Details'!$G$10</f>
        <v>1.35</v>
      </c>
      <c r="H22" s="2">
        <f>SQRT(2*'BD-5J Details'!$H$6*'HW#7 Calculations'!E22/('HW#7 Calculations'!B22*'BD-5J Details'!$D$5*'BD-5J Details'!$G$10))</f>
        <v>164.0962694953113</v>
      </c>
      <c r="I22" s="51">
        <f t="shared" si="0"/>
        <v>0.15763664082217457</v>
      </c>
      <c r="J22" s="2" cm="1">
        <f t="array" ref="J22">$D$3*POWER('BD-5J Details'!$D$11/Linterp($A$3,atmos_h,atmos_vela),2)</f>
        <v>228.89619148156612</v>
      </c>
      <c r="K22" s="1">
        <f t="shared" si="1"/>
        <v>0.56787733255610873</v>
      </c>
      <c r="L22">
        <f>'BD-5J Details'!$D$12</f>
        <v>0.55000000000000004</v>
      </c>
      <c r="M22" s="1">
        <f t="shared" si="2"/>
        <v>0.55000000000000004</v>
      </c>
      <c r="O22" cm="1">
        <f t="array" ref="O22">P22/Linterp(Q$2,atmos_h,atmos_aspeed)</f>
        <v>0.35363907854228832</v>
      </c>
      <c r="P22" s="2">
        <f t="shared" si="9"/>
        <v>394.8203492385378</v>
      </c>
      <c r="Q22" cm="1">
        <f t="array" ref="Q22">max_CL*0.5*Linterp($Q$2,atmos_h,atmos_rho)*P22*P22*S/W</f>
        <v>10.504112785061993</v>
      </c>
      <c r="R22">
        <f t="shared" si="6"/>
        <v>-10.504112785061993</v>
      </c>
      <c r="S22">
        <f t="shared" si="7"/>
        <v>6</v>
      </c>
      <c r="T22">
        <f t="shared" si="3"/>
        <v>-1.5</v>
      </c>
      <c r="V22" cm="1">
        <f t="array" ref="V22">W22/Linterp(X$2,atmos_h,atmos_aspeed)</f>
        <v>0.30328899061857689</v>
      </c>
      <c r="W22" s="2">
        <f t="shared" si="10"/>
        <v>326.75964863341386</v>
      </c>
      <c r="X22" cm="1">
        <f t="array" ref="X22">max_CL*0.5*Linterp($X$2,atmos_h,atmos_rho)*W22*W22*S/W</f>
        <v>5.3131439755585079</v>
      </c>
      <c r="Y22">
        <f t="shared" si="8"/>
        <v>-5.3131439755585079</v>
      </c>
      <c r="Z22">
        <f t="shared" si="4"/>
        <v>5.3131439755585079</v>
      </c>
      <c r="AA22">
        <f t="shared" si="5"/>
        <v>-1.5</v>
      </c>
    </row>
    <row r="23" spans="1:27" x14ac:dyDescent="0.25">
      <c r="A23">
        <v>20000</v>
      </c>
      <c r="B23" cm="1">
        <f t="array" ref="B23">Linterp(A23,atmos_h, atmos_rho)</f>
        <v>1.2664069179837817E-3</v>
      </c>
      <c r="C23" s="23" cm="1">
        <f t="array" ref="C23">Linterp($A23,atmos_h, atmos_aspeed)</f>
        <v>1036.8535868172689</v>
      </c>
      <c r="D23" s="23" cm="1">
        <f t="array" ref="D23">Linterp($A23,atmos_h, atmos_qms)</f>
        <v>680.7772729218035</v>
      </c>
      <c r="E23" s="23">
        <v>1</v>
      </c>
      <c r="F23" s="23">
        <f>G23*0.5*B23*H23*H23*'BD-5J Details'!$D$5/'BD-5J Details'!$H$6</f>
        <v>0.99999999999999978</v>
      </c>
      <c r="G23">
        <f>'BD-5J Details'!$G$10</f>
        <v>1.35</v>
      </c>
      <c r="H23" s="2">
        <f>SQRT(2*'BD-5J Details'!$H$6*'HW#7 Calculations'!E23/('HW#7 Calculations'!B23*'BD-5J Details'!$D$5*'BD-5J Details'!$G$10))</f>
        <v>166.89250420273339</v>
      </c>
      <c r="I23" s="51">
        <f t="shared" si="0"/>
        <v>0.16096053128873042</v>
      </c>
      <c r="J23" s="2" cm="1">
        <f t="array" ref="J23">$D$3*POWER('BD-5J Details'!$D$11/Linterp($A$3,atmos_h,atmos_vela),2)</f>
        <v>228.89619148156612</v>
      </c>
      <c r="K23" s="1">
        <f t="shared" si="1"/>
        <v>0.57985146523244357</v>
      </c>
      <c r="L23">
        <f>'BD-5J Details'!$D$12</f>
        <v>0.55000000000000004</v>
      </c>
      <c r="M23" s="1">
        <f t="shared" si="2"/>
        <v>0.55000000000000004</v>
      </c>
      <c r="O23" cm="1">
        <f t="array" ref="O23">P23/Linterp(Q$2,atmos_h,atmos_aspeed)</f>
        <v>0.37065730595954838</v>
      </c>
      <c r="P23" s="2">
        <f t="shared" si="9"/>
        <v>413.8203492385378</v>
      </c>
      <c r="Q23" cm="1">
        <f t="array" ref="Q23">max_CL*0.5*Linterp($Q$2,atmos_h,atmos_rho)*P23*P23*S/W</f>
        <v>11.539420656326353</v>
      </c>
      <c r="R23">
        <f t="shared" si="6"/>
        <v>-11.539420656326353</v>
      </c>
      <c r="S23">
        <f t="shared" si="7"/>
        <v>6</v>
      </c>
      <c r="T23">
        <f t="shared" si="3"/>
        <v>-1.5</v>
      </c>
      <c r="V23" cm="1">
        <f t="array" ref="V23">W23/Linterp(X$2,atmos_h,atmos_aspeed)</f>
        <v>0.31721156299954578</v>
      </c>
      <c r="W23" s="2">
        <f t="shared" si="10"/>
        <v>341.75964863341386</v>
      </c>
      <c r="X23" cm="1">
        <f t="array" ref="X23">max_CL*0.5*Linterp($X$2,atmos_h,atmos_rho)*W23*W23*S/W</f>
        <v>5.8121432921643281</v>
      </c>
      <c r="Y23">
        <f t="shared" si="8"/>
        <v>-5.8121432921643281</v>
      </c>
      <c r="Z23">
        <f t="shared" si="4"/>
        <v>5.8121432921643281</v>
      </c>
      <c r="AA23">
        <f t="shared" si="5"/>
        <v>-1.5</v>
      </c>
    </row>
    <row r="24" spans="1:27" x14ac:dyDescent="0.25">
      <c r="A24">
        <v>21000</v>
      </c>
      <c r="B24" cm="1">
        <f t="array" ref="B24">Linterp(A24,atmos_h, atmos_rho)</f>
        <v>1.2239947879389809E-3</v>
      </c>
      <c r="C24" s="23" cm="1">
        <f t="array" ref="C24">Linterp($A24,atmos_h, atmos_aspeed)</f>
        <v>1032.7127375972602</v>
      </c>
      <c r="D24" s="23" cm="1">
        <f t="array" ref="D24">Linterp($A24,atmos_h, atmos_qms)</f>
        <v>652.73295781908814</v>
      </c>
      <c r="E24" s="23">
        <v>1</v>
      </c>
      <c r="F24" s="23">
        <f>G24*0.5*B24*H24*H24*'BD-5J Details'!$D$5/'BD-5J Details'!$H$6</f>
        <v>1.0000000000000002</v>
      </c>
      <c r="G24">
        <f>'BD-5J Details'!$G$10</f>
        <v>1.35</v>
      </c>
      <c r="H24" s="2">
        <f>SQRT(2*'BD-5J Details'!$H$6*'HW#7 Calculations'!E24/('HW#7 Calculations'!B24*'BD-5J Details'!$D$5*'BD-5J Details'!$G$10))</f>
        <v>169.75934236783036</v>
      </c>
      <c r="I24" s="51">
        <f t="shared" si="0"/>
        <v>0.16438195849389581</v>
      </c>
      <c r="J24" s="2" cm="1">
        <f t="array" ref="J24">$D$3*POWER('BD-5J Details'!$D$11/Linterp($A$3,atmos_h,atmos_vela),2)</f>
        <v>228.89619148156612</v>
      </c>
      <c r="K24" s="1">
        <f t="shared" si="1"/>
        <v>0.59217696864757907</v>
      </c>
      <c r="L24">
        <f>'BD-5J Details'!$D$12</f>
        <v>0.55000000000000004</v>
      </c>
      <c r="M24" s="1">
        <f t="shared" si="2"/>
        <v>0.55000000000000004</v>
      </c>
      <c r="O24" cm="1">
        <f t="array" ref="O24">P24/Linterp(Q$2,atmos_h,atmos_aspeed)</f>
        <v>0.38767553337680843</v>
      </c>
      <c r="P24" s="2">
        <f>P23+19</f>
        <v>432.8203492385378</v>
      </c>
      <c r="Q24" cm="1">
        <f t="array" ref="Q24">max_CL*0.5*Linterp($Q$2,atmos_h,atmos_rho)*P24*P24*S/W</f>
        <v>12.623380171246712</v>
      </c>
      <c r="R24">
        <f t="shared" si="6"/>
        <v>-12.623380171246712</v>
      </c>
      <c r="S24">
        <f t="shared" si="7"/>
        <v>6</v>
      </c>
      <c r="T24">
        <f t="shared" si="3"/>
        <v>-1.5</v>
      </c>
      <c r="V24" cm="1">
        <f t="array" ref="V24">W24/Linterp(X$2,atmos_h,atmos_aspeed)</f>
        <v>0.33113413538051462</v>
      </c>
      <c r="W24" s="2">
        <f t="shared" si="10"/>
        <v>356.75964863341386</v>
      </c>
      <c r="X24" cm="1">
        <f t="array" ref="X24">max_CL*0.5*Linterp($X$2,atmos_h,atmos_rho)*W24*W24*S/W</f>
        <v>6.333535349801525</v>
      </c>
      <c r="Y24">
        <f t="shared" si="8"/>
        <v>-6.333535349801525</v>
      </c>
      <c r="Z24">
        <f t="shared" si="4"/>
        <v>6</v>
      </c>
      <c r="AA24">
        <f t="shared" si="5"/>
        <v>-1.5</v>
      </c>
    </row>
    <row r="25" spans="1:27" x14ac:dyDescent="0.25">
      <c r="A25">
        <v>22000</v>
      </c>
      <c r="B25" cm="1">
        <f t="array" ref="B25">Linterp(A25,atmos_h, atmos_rho)</f>
        <v>1.1826779720181706E-3</v>
      </c>
      <c r="C25" s="23" cm="1">
        <f t="array" ref="C25">Linterp($A25,atmos_h, atmos_aspeed)</f>
        <v>1028.5552179126889</v>
      </c>
      <c r="D25" s="23" cm="1">
        <f t="array" ref="D25">Linterp($A25,atmos_h, atmos_qms)</f>
        <v>625.63154354053802</v>
      </c>
      <c r="E25" s="23">
        <v>1</v>
      </c>
      <c r="F25" s="23">
        <f>G25*0.5*B25*H25*H25*'BD-5J Details'!$D$5/'BD-5J Details'!$H$6</f>
        <v>1.0000000000000002</v>
      </c>
      <c r="G25">
        <f>'BD-5J Details'!$G$10</f>
        <v>1.35</v>
      </c>
      <c r="H25" s="2">
        <f>SQRT(2*'BD-5J Details'!$H$6*'HW#7 Calculations'!E25/('HW#7 Calculations'!B25*'BD-5J Details'!$D$5*'BD-5J Details'!$G$10))</f>
        <v>172.69915571908987</v>
      </c>
      <c r="I25" s="51">
        <f t="shared" si="0"/>
        <v>0.16790460318655426</v>
      </c>
      <c r="J25" s="2" cm="1">
        <f t="array" ref="J25">$D$3*POWER('BD-5J Details'!$D$11/Linterp($A$3,atmos_h,atmos_vela),2)</f>
        <v>228.89619148156612</v>
      </c>
      <c r="K25" s="1">
        <f t="shared" si="1"/>
        <v>0.60486710249702103</v>
      </c>
      <c r="L25">
        <f>'BD-5J Details'!$D$12</f>
        <v>0.55000000000000004</v>
      </c>
      <c r="M25" s="1">
        <f t="shared" si="2"/>
        <v>0.55000000000000004</v>
      </c>
      <c r="O25" cm="1">
        <f t="array" ref="O25">P25/Linterp(Q$2,atmos_h,atmos_aspeed)</f>
        <v>0.39307726374769231</v>
      </c>
      <c r="P25" s="2">
        <f>K3*C3</f>
        <v>438.85111111111109</v>
      </c>
      <c r="Q25" cm="1">
        <f t="array" ref="Q25">max_CL*0.5*Linterp($Q$2,atmos_h,atmos_rho)*P25*P25*S/W</f>
        <v>12.977610161280563</v>
      </c>
      <c r="R25">
        <f t="shared" ref="R25" si="11">-Q25</f>
        <v>-12.977610161280563</v>
      </c>
      <c r="S25">
        <f t="shared" ref="S25" si="12">MIN(max_n,Q25)</f>
        <v>6</v>
      </c>
      <c r="T25">
        <f t="shared" ref="T25" si="13">MAX(min_n,R25)</f>
        <v>-1.5</v>
      </c>
      <c r="V25" cm="1">
        <f t="array" ref="V25">W25/Linterp(X$2,atmos_h,atmos_aspeed)</f>
        <v>0.34505670776148345</v>
      </c>
      <c r="W25" s="2">
        <f t="shared" si="10"/>
        <v>371.75964863341386</v>
      </c>
      <c r="X25" cm="1">
        <f t="array" ref="X25">max_CL*0.5*Linterp($X$2,atmos_h,atmos_rho)*W25*W25*S/W</f>
        <v>6.8773201484700994</v>
      </c>
      <c r="Y25">
        <f t="shared" si="8"/>
        <v>-6.8773201484700994</v>
      </c>
      <c r="Z25">
        <f t="shared" si="4"/>
        <v>6</v>
      </c>
      <c r="AA25">
        <f t="shared" si="5"/>
        <v>-1.5</v>
      </c>
    </row>
    <row r="26" spans="1:27" x14ac:dyDescent="0.25">
      <c r="A26">
        <v>23000</v>
      </c>
      <c r="B26" cm="1">
        <f t="array" ref="B26">Linterp(A26,atmos_h, atmos_rho)</f>
        <v>1.1424367130771322E-3</v>
      </c>
      <c r="C26" s="23" cm="1">
        <f t="array" ref="C26">Linterp($A26,atmos_h, atmos_aspeed)</f>
        <v>1024.3808247889115</v>
      </c>
      <c r="D26" s="23" cm="1">
        <f t="array" ref="D26">Linterp($A26,atmos_h, atmos_qms)</f>
        <v>599.44858256000066</v>
      </c>
      <c r="E26" s="23">
        <v>1</v>
      </c>
      <c r="F26" s="23">
        <f>G26*0.5*B26*H26*H26*'BD-5J Details'!$D$5/'BD-5J Details'!$H$6</f>
        <v>1.0000000000000002</v>
      </c>
      <c r="G26">
        <f>'BD-5J Details'!$G$10</f>
        <v>1.35</v>
      </c>
      <c r="H26" s="2">
        <f>SQRT(2*'BD-5J Details'!$H$6*'HW#7 Calculations'!E26/('HW#7 Calculations'!B26*'BD-5J Details'!$D$5*'BD-5J Details'!$G$10))</f>
        <v>175.71441576787399</v>
      </c>
      <c r="I26" s="51">
        <f t="shared" si="0"/>
        <v>0.17153231641570652</v>
      </c>
      <c r="J26" s="2" cm="1">
        <f t="array" ref="J26">$D$3*POWER('BD-5J Details'!$D$11/Linterp($A$3,atmos_h,atmos_vela),2)</f>
        <v>228.89619148156612</v>
      </c>
      <c r="K26" s="1">
        <f t="shared" si="1"/>
        <v>0.61793573997308493</v>
      </c>
      <c r="L26">
        <f>'BD-5J Details'!$D$12</f>
        <v>0.55000000000000004</v>
      </c>
      <c r="M26" s="1">
        <f t="shared" si="2"/>
        <v>0.55000000000000004</v>
      </c>
      <c r="P26" s="2"/>
      <c r="V26" cm="1">
        <f t="array" ref="V26">W26/Linterp(X$2,atmos_h,atmos_aspeed)</f>
        <v>0.35897928014245234</v>
      </c>
      <c r="W26" s="2">
        <f t="shared" si="10"/>
        <v>386.75964863341386</v>
      </c>
      <c r="X26" cm="1">
        <f t="array" ref="X26">max_CL*0.5*Linterp($X$2,atmos_h,atmos_rho)*W26*W26*S/W</f>
        <v>7.4434976881700505</v>
      </c>
      <c r="Y26">
        <f t="shared" si="8"/>
        <v>-7.4434976881700505</v>
      </c>
      <c r="Z26">
        <f t="shared" si="4"/>
        <v>6</v>
      </c>
      <c r="AA26">
        <f t="shared" si="5"/>
        <v>-1.5</v>
      </c>
    </row>
    <row r="27" spans="1:27" x14ac:dyDescent="0.25">
      <c r="A27">
        <v>24000</v>
      </c>
      <c r="B27" cm="1">
        <f t="array" ref="B27">Linterp(A27,atmos_h, atmos_rho)</f>
        <v>1.1032514539989387E-3</v>
      </c>
      <c r="C27" s="23" cm="1">
        <f t="array" ref="C27">Linterp($A27,atmos_h, atmos_aspeed)</f>
        <v>1020.1893510986098</v>
      </c>
      <c r="D27" s="23" cm="1">
        <f t="array" ref="D27">Linterp($A27,atmos_h, atmos_qms)</f>
        <v>574.16007009963323</v>
      </c>
      <c r="E27" s="23">
        <v>1</v>
      </c>
      <c r="F27" s="23">
        <f>G27*0.5*B27*H27*H27*'BD-5J Details'!$D$5/'BD-5J Details'!$H$6</f>
        <v>1.0000000000000002</v>
      </c>
      <c r="G27">
        <f>'BD-5J Details'!$G$10</f>
        <v>1.35</v>
      </c>
      <c r="H27" s="2">
        <f>SQRT(2*'BD-5J Details'!$H$6*'HW#7 Calculations'!E27/('HW#7 Calculations'!B27*'BD-5J Details'!$D$5*'BD-5J Details'!$G$10))</f>
        <v>178.80769886656458</v>
      </c>
      <c r="I27" s="51">
        <f t="shared" si="0"/>
        <v>0.17526912888672302</v>
      </c>
      <c r="J27" s="2" cm="1">
        <f t="array" ref="J27">$D$3*POWER('BD-5J Details'!$D$11/Linterp($A$3,atmos_h,atmos_vela),2)</f>
        <v>228.89619148156612</v>
      </c>
      <c r="K27" s="1">
        <f t="shared" si="1"/>
        <v>0.63139740147028145</v>
      </c>
      <c r="L27">
        <f>'BD-5J Details'!$D$12</f>
        <v>0.55000000000000004</v>
      </c>
      <c r="M27" s="1">
        <f t="shared" si="2"/>
        <v>0.55000000000000004</v>
      </c>
      <c r="P27" s="2"/>
      <c r="V27" cm="1">
        <f t="array" ref="V27">W27/Linterp(X$2,atmos_h,atmos_aspeed)</f>
        <v>0.37290185252342117</v>
      </c>
      <c r="W27" s="2">
        <f t="shared" si="10"/>
        <v>401.75964863341386</v>
      </c>
      <c r="X27" cm="1">
        <f t="array" ref="X27">max_CL*0.5*Linterp($X$2,atmos_h,atmos_rho)*W27*W27*S/W</f>
        <v>8.0320679689013819</v>
      </c>
      <c r="Y27">
        <f t="shared" si="8"/>
        <v>-8.0320679689013819</v>
      </c>
      <c r="Z27">
        <f t="shared" si="4"/>
        <v>6</v>
      </c>
      <c r="AA27">
        <f t="shared" si="5"/>
        <v>-1.5</v>
      </c>
    </row>
    <row r="28" spans="1:27" x14ac:dyDescent="0.25">
      <c r="A28">
        <v>25000</v>
      </c>
      <c r="B28" cm="1">
        <f t="array" ref="B28">Linterp(A28,atmos_h, atmos_rho)</f>
        <v>1.0651028372775637E-3</v>
      </c>
      <c r="C28" s="23" cm="1">
        <f t="array" ref="C28">Linterp($A28,atmos_h, atmos_aspeed)</f>
        <v>1015.9805854418648</v>
      </c>
      <c r="D28" s="23" cm="1">
        <f t="array" ref="D28">Linterp($A28,atmos_h, atmos_qms)</f>
        <v>549.74243962925425</v>
      </c>
      <c r="E28" s="23">
        <v>1</v>
      </c>
      <c r="F28" s="23">
        <f>G28*0.5*B28*H28*H28*'BD-5J Details'!$D$5/'BD-5J Details'!$H$6</f>
        <v>1</v>
      </c>
      <c r="G28">
        <f>'BD-5J Details'!$G$10</f>
        <v>1.35</v>
      </c>
      <c r="H28" s="2">
        <f>SQRT(2*'BD-5J Details'!$H$6*'HW#7 Calculations'!E28/('HW#7 Calculations'!B28*'BD-5J Details'!$D$5*'BD-5J Details'!$G$10))</f>
        <v>181.98169156744095</v>
      </c>
      <c r="I28" s="51">
        <f t="shared" si="0"/>
        <v>0.1791192609141192</v>
      </c>
      <c r="J28" s="2" cm="1">
        <f t="array" ref="J28">$D$3*POWER('BD-5J Details'!$D$11/Linterp($A$3,atmos_h,atmos_vela),2)</f>
        <v>228.89619148156612</v>
      </c>
      <c r="K28" s="1">
        <f t="shared" si="1"/>
        <v>0.64526729043964226</v>
      </c>
      <c r="L28">
        <f>'BD-5J Details'!$D$12</f>
        <v>0.55000000000000004</v>
      </c>
      <c r="M28" s="1">
        <f t="shared" si="2"/>
        <v>0.55000000000000004</v>
      </c>
      <c r="P28" s="2"/>
      <c r="V28" cm="1">
        <f t="array" ref="V28">W28/Linterp(X$2,atmos_h,atmos_aspeed)</f>
        <v>0.38682442490439001</v>
      </c>
      <c r="W28" s="2">
        <f t="shared" si="10"/>
        <v>416.75964863341386</v>
      </c>
      <c r="X28" cm="1">
        <f t="array" ref="X28">max_CL*0.5*Linterp($X$2,atmos_h,atmos_rho)*W28*W28*S/W</f>
        <v>8.6430309906640872</v>
      </c>
      <c r="Y28">
        <f t="shared" si="8"/>
        <v>-8.6430309906640872</v>
      </c>
      <c r="Z28">
        <f t="shared" si="4"/>
        <v>6</v>
      </c>
      <c r="AA28">
        <f t="shared" si="5"/>
        <v>-1.5</v>
      </c>
    </row>
    <row r="29" spans="1:27" x14ac:dyDescent="0.25">
      <c r="A29">
        <v>26000</v>
      </c>
      <c r="B29" cm="1">
        <f t="array" ref="B29">Linterp(A29,atmos_h, atmos_rho)</f>
        <v>1.0279717045989522E-3</v>
      </c>
      <c r="C29" s="23" cm="1">
        <f t="array" ref="C29">Linterp($A29,atmos_h, atmos_aspeed)</f>
        <v>1011.7543120217408</v>
      </c>
      <c r="D29" s="23" cm="1">
        <f t="array" ref="D29">Linterp($A29,atmos_h, atmos_qms)</f>
        <v>526.17255837510368</v>
      </c>
      <c r="E29" s="23">
        <v>1</v>
      </c>
      <c r="F29" s="23">
        <f>G29*0.5*B29*H29*H29*'BD-5J Details'!$D$5/'BD-5J Details'!$H$6</f>
        <v>1</v>
      </c>
      <c r="G29">
        <f>'BD-5J Details'!$G$10</f>
        <v>1.35</v>
      </c>
      <c r="H29" s="2">
        <f>SQRT(2*'BD-5J Details'!$H$6*'HW#7 Calculations'!E29/('HW#7 Calculations'!B29*'BD-5J Details'!$D$5*'BD-5J Details'!$G$10))</f>
        <v>185.2391963028486</v>
      </c>
      <c r="I29" s="51">
        <f t="shared" si="0"/>
        <v>0.18308713301423332</v>
      </c>
      <c r="J29" s="2" cm="1">
        <f t="array" ref="J29">$D$3*POWER('BD-5J Details'!$D$11/Linterp($A$3,atmos_h,atmos_vela),2)</f>
        <v>228.89619148156612</v>
      </c>
      <c r="K29" s="1">
        <f t="shared" si="1"/>
        <v>0.65956133154826035</v>
      </c>
      <c r="L29">
        <f>'BD-5J Details'!$D$12</f>
        <v>0.55000000000000004</v>
      </c>
      <c r="M29" s="1">
        <f t="shared" si="2"/>
        <v>0.55000000000000004</v>
      </c>
      <c r="P29" s="2"/>
      <c r="V29" cm="1">
        <f t="array" ref="V29">W29/Linterp(X$2,atmos_h,atmos_aspeed)</f>
        <v>0.4007469972853589</v>
      </c>
      <c r="W29" s="2">
        <f t="shared" si="10"/>
        <v>431.75964863341386</v>
      </c>
      <c r="X29" cm="1">
        <f t="array" ref="X29">max_CL*0.5*Linterp($X$2,atmos_h,atmos_rho)*W29*W29*S/W</f>
        <v>9.2763867534581728</v>
      </c>
      <c r="Y29">
        <f t="shared" si="8"/>
        <v>-9.2763867534581728</v>
      </c>
      <c r="Z29">
        <f t="shared" si="4"/>
        <v>6</v>
      </c>
      <c r="AA29">
        <f t="shared" si="5"/>
        <v>-1.5</v>
      </c>
    </row>
    <row r="30" spans="1:27" x14ac:dyDescent="0.25">
      <c r="V30" cm="1">
        <f t="array" ref="V30">W30/Linterp(X$2,atmos_h,atmos_aspeed)</f>
        <v>0.41466956966632773</v>
      </c>
      <c r="W30" s="2">
        <f t="shared" si="10"/>
        <v>446.75964863341386</v>
      </c>
      <c r="X30" cm="1">
        <f t="array" ref="X30">max_CL*0.5*Linterp($X$2,atmos_h,atmos_rho)*W30*W30*S/W</f>
        <v>9.9321352572836368</v>
      </c>
      <c r="Y30">
        <f t="shared" si="8"/>
        <v>-9.9321352572836368</v>
      </c>
      <c r="Z30">
        <f t="shared" si="4"/>
        <v>6</v>
      </c>
      <c r="AA30">
        <f t="shared" si="5"/>
        <v>-1.5</v>
      </c>
    </row>
    <row r="31" spans="1:27" x14ac:dyDescent="0.25">
      <c r="V31" cm="1">
        <f t="array" ref="V31">W31/Linterp(X$2,atmos_h,atmos_aspeed)</f>
        <v>0.42859214204729656</v>
      </c>
      <c r="W31" s="2">
        <f t="shared" si="10"/>
        <v>461.75964863341386</v>
      </c>
      <c r="X31" cm="1">
        <f t="array" ref="X31">max_CL*0.5*Linterp($X$2,atmos_h,atmos_rho)*W31*W31*S/W</f>
        <v>10.610276502140476</v>
      </c>
      <c r="Y31">
        <f t="shared" si="8"/>
        <v>-10.610276502140476</v>
      </c>
      <c r="Z31">
        <f t="shared" si="4"/>
        <v>6</v>
      </c>
      <c r="AA31">
        <f t="shared" si="5"/>
        <v>-1.5</v>
      </c>
    </row>
    <row r="32" spans="1:27" x14ac:dyDescent="0.25">
      <c r="V32" cm="1">
        <f t="array" ref="V32">W32/Linterp(X$2,atmos_h,atmos_aspeed)</f>
        <v>0.4425147144282654</v>
      </c>
      <c r="W32" s="2">
        <f t="shared" si="10"/>
        <v>476.75964863341386</v>
      </c>
      <c r="X32" cm="1">
        <f t="array" ref="X32">max_CL*0.5*Linterp($X$2,atmos_h,atmos_rho)*W32*W32*S/W</f>
        <v>11.310810488028697</v>
      </c>
      <c r="Y32">
        <f t="shared" si="8"/>
        <v>-11.310810488028697</v>
      </c>
      <c r="Z32">
        <f t="shared" si="4"/>
        <v>6</v>
      </c>
      <c r="AA32">
        <f t="shared" si="5"/>
        <v>-1.5</v>
      </c>
    </row>
    <row r="33" spans="22:27" x14ac:dyDescent="0.25">
      <c r="V33" cm="1">
        <f t="array" ref="V33">W33/Linterp(X$2,atmos_h,atmos_aspeed)</f>
        <v>0.45643728680923429</v>
      </c>
      <c r="W33" s="2">
        <f t="shared" si="10"/>
        <v>491.75964863341386</v>
      </c>
      <c r="X33" cm="1">
        <f t="array" ref="X33">max_CL*0.5*Linterp($X$2,atmos_h,atmos_rho)*W33*W33*S/W</f>
        <v>12.033737214948289</v>
      </c>
      <c r="Y33">
        <f t="shared" si="8"/>
        <v>-12.033737214948289</v>
      </c>
      <c r="Z33">
        <f t="shared" si="4"/>
        <v>6</v>
      </c>
      <c r="AA33">
        <f t="shared" si="5"/>
        <v>-1.5</v>
      </c>
    </row>
    <row r="34" spans="22:27" x14ac:dyDescent="0.25">
      <c r="V34" cm="1">
        <f t="array" ref="V34">W34/Linterp(X$2,atmos_h,atmos_aspeed)</f>
        <v>0.47035985919020312</v>
      </c>
      <c r="W34" s="2">
        <f t="shared" si="10"/>
        <v>506.75964863341386</v>
      </c>
      <c r="X34" cm="1">
        <f t="array" ref="X34">max_CL*0.5*Linterp($X$2,atmos_h,atmos_rho)*W34*W34*S/W</f>
        <v>12.779056682899261</v>
      </c>
      <c r="Y34">
        <f t="shared" si="8"/>
        <v>-12.779056682899261</v>
      </c>
      <c r="Z34">
        <f t="shared" si="4"/>
        <v>6</v>
      </c>
      <c r="AA34">
        <f t="shared" si="5"/>
        <v>-1.5</v>
      </c>
    </row>
    <row r="35" spans="22:27" x14ac:dyDescent="0.25">
      <c r="V35" cm="1">
        <f t="array" ref="V35">W35/Linterp(X$2,atmos_h,atmos_aspeed)</f>
        <v>0.47399986227042717</v>
      </c>
      <c r="W35" s="2" cm="1">
        <f t="array" ref="W35">Linterp(X2,atmos_h,atmos_aspeed)*K13</f>
        <v>510.68134102683933</v>
      </c>
      <c r="X35" cm="1">
        <f t="array" ref="X35">max_CL*0.5*Linterp($X$2,atmos_h,atmos_rho)*W35*W35*S/W</f>
        <v>12.97761016128057</v>
      </c>
      <c r="Y35">
        <f>-X35</f>
        <v>-12.97761016128057</v>
      </c>
      <c r="Z35">
        <f>MIN(max_n,X35)</f>
        <v>6</v>
      </c>
      <c r="AA35">
        <f>MAX(min_n,Y35)</f>
        <v>-1.5</v>
      </c>
    </row>
  </sheetData>
  <mergeCells count="5">
    <mergeCell ref="Q3:Q4"/>
    <mergeCell ref="R3:R4"/>
    <mergeCell ref="X3:X4"/>
    <mergeCell ref="Y3:Y4"/>
    <mergeCell ref="O1:AA1"/>
  </mergeCells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0098-5DF5-4491-A258-DDA74ABE3A54}">
  <dimension ref="A2:AA58"/>
  <sheetViews>
    <sheetView topLeftCell="I23" workbookViewId="0">
      <selection activeCell="S1" sqref="S1"/>
    </sheetView>
  </sheetViews>
  <sheetFormatPr defaultRowHeight="15" x14ac:dyDescent="0.25"/>
  <cols>
    <col min="1" max="1" width="44.140625" customWidth="1"/>
    <col min="4" max="5" width="13.42578125" bestFit="1" customWidth="1"/>
    <col min="6" max="6" width="10.42578125" bestFit="1" customWidth="1"/>
    <col min="7" max="7" width="12" bestFit="1" customWidth="1"/>
  </cols>
  <sheetData>
    <row r="2" spans="1:27" x14ac:dyDescent="0.25">
      <c r="A2" s="57" t="s">
        <v>96</v>
      </c>
      <c r="I2" s="63" t="s">
        <v>72</v>
      </c>
      <c r="J2" s="64">
        <v>0</v>
      </c>
      <c r="K2" s="64" t="s">
        <v>59</v>
      </c>
      <c r="L2" s="64" t="s">
        <v>73</v>
      </c>
      <c r="M2" s="64" cm="1">
        <f t="array" ref="M2">Linterp(J2,atmos_h,atmos_rho)</f>
        <v>2.3768800000000001E-3</v>
      </c>
      <c r="N2" s="64"/>
      <c r="O2" s="64"/>
      <c r="P2" s="64"/>
      <c r="Q2" s="65"/>
      <c r="S2" s="63" t="s">
        <v>72</v>
      </c>
      <c r="T2" s="64">
        <v>10000</v>
      </c>
      <c r="U2" s="64" t="s">
        <v>59</v>
      </c>
      <c r="V2" s="64" t="s">
        <v>73</v>
      </c>
      <c r="W2" s="64" cm="1">
        <f t="array" ref="W2">Linterp(T2,atmos_h,atmos_rho)</f>
        <v>1.7552609078093325E-3</v>
      </c>
      <c r="X2" s="64"/>
      <c r="Y2" s="64"/>
      <c r="Z2" s="64"/>
      <c r="AA2" s="65"/>
    </row>
    <row r="3" spans="1:27" x14ac:dyDescent="0.25">
      <c r="A3" s="57" t="s">
        <v>97</v>
      </c>
      <c r="I3" s="66" t="s">
        <v>123</v>
      </c>
      <c r="J3" s="19" t="s">
        <v>77</v>
      </c>
      <c r="K3" s="19" t="s">
        <v>124</v>
      </c>
      <c r="L3" s="19" t="s">
        <v>125</v>
      </c>
      <c r="M3" s="19" t="s">
        <v>126</v>
      </c>
      <c r="N3" s="19" t="s">
        <v>127</v>
      </c>
      <c r="O3" s="19" t="s">
        <v>128</v>
      </c>
      <c r="P3" s="19" t="s">
        <v>129</v>
      </c>
      <c r="Q3" s="67" t="s">
        <v>130</v>
      </c>
      <c r="S3" s="66" t="s">
        <v>123</v>
      </c>
      <c r="T3" s="19" t="s">
        <v>77</v>
      </c>
      <c r="U3" s="19" t="s">
        <v>124</v>
      </c>
      <c r="V3" s="19" t="s">
        <v>125</v>
      </c>
      <c r="W3" s="19" t="s">
        <v>126</v>
      </c>
      <c r="X3" s="19" t="s">
        <v>127</v>
      </c>
      <c r="Y3" s="19" t="s">
        <v>128</v>
      </c>
      <c r="Z3" s="19" t="s">
        <v>129</v>
      </c>
      <c r="AA3" s="67" t="s">
        <v>130</v>
      </c>
    </row>
    <row r="4" spans="1:27" ht="15.75" thickBot="1" x14ac:dyDescent="0.3">
      <c r="I4" s="66" t="s">
        <v>84</v>
      </c>
      <c r="J4" s="19"/>
      <c r="K4" s="19"/>
      <c r="L4" s="19"/>
      <c r="M4" s="19" t="s">
        <v>63</v>
      </c>
      <c r="N4" s="19"/>
      <c r="O4" s="19" t="s">
        <v>131</v>
      </c>
      <c r="P4" s="19"/>
      <c r="Q4" s="67" t="s">
        <v>132</v>
      </c>
      <c r="S4" s="66" t="s">
        <v>84</v>
      </c>
      <c r="T4" s="19"/>
      <c r="U4" s="19"/>
      <c r="V4" s="19"/>
      <c r="W4" s="19" t="s">
        <v>63</v>
      </c>
      <c r="X4" s="19"/>
      <c r="Y4" s="19"/>
      <c r="Z4" s="19"/>
      <c r="AA4" s="67" t="s">
        <v>132</v>
      </c>
    </row>
    <row r="5" spans="1:27" ht="16.5" thickBot="1" x14ac:dyDescent="0.3">
      <c r="A5" s="53" t="s">
        <v>98</v>
      </c>
      <c r="B5" s="54" t="s">
        <v>99</v>
      </c>
      <c r="C5" s="54" t="s">
        <v>100</v>
      </c>
      <c r="D5" s="54" t="s">
        <v>101</v>
      </c>
      <c r="E5" s="54" t="s">
        <v>102</v>
      </c>
      <c r="I5" s="68">
        <f>'HW#7 Calculations'!$H3 - 70</f>
        <v>51.820349238537801</v>
      </c>
      <c r="J5" cm="1">
        <f t="array" ref="J5">I5/Linterp(J$2,atmos_h,atmos_aspeed)</f>
        <v>4.6415288851751356E-2</v>
      </c>
      <c r="K5" cm="1">
        <f t="array" ref="K5">1*W/(S*0.5*Linterp(J$2,atmos_h,atmos_rho)*I5*I5)</f>
        <v>7.4605831977978001</v>
      </c>
      <c r="L5">
        <f>$C$25+$C$26*K5*K5</f>
        <v>3.4709387023782963</v>
      </c>
      <c r="M5">
        <f t="shared" ref="M5:M36" si="0">W*L5/K5</f>
        <v>418.71322245458731</v>
      </c>
      <c r="N5">
        <f>K5/L5</f>
        <v>2.1494425103750143</v>
      </c>
      <c r="O5">
        <f>(1/'BD-5J Details'!$H$9)*'HW#8 Calculations'!N5</f>
        <v>1.6534173156730878</v>
      </c>
      <c r="P5">
        <f>SQRT(K5)/L5</f>
        <v>0.78693605701930569</v>
      </c>
      <c r="Q5" s="69">
        <f>I5*0.592484*N5/'BD-5J Details'!$H$9</f>
        <v>50.764421780017116</v>
      </c>
      <c r="S5" s="68">
        <f>'HW#7 Calculations'!$H13 - 90</f>
        <v>51.75964863341386</v>
      </c>
      <c r="T5" cm="1">
        <f t="array" ref="T5">S5/Linterp(T$2,atmos_h,atmos_aspeed)</f>
        <v>4.8041830300814659E-2</v>
      </c>
      <c r="U5" cm="1">
        <f t="array" ref="U5">1*W/(S*0.5*Linterp(T$2,atmos_h,atmos_rho)*S5*S5)</f>
        <v>10.12643048392793</v>
      </c>
      <c r="V5">
        <f>$C$25+$C$26*U5*U5</f>
        <v>6.3777648494411405</v>
      </c>
      <c r="W5">
        <f t="shared" ref="W5:W36" si="1">W*V5/U5</f>
        <v>566.83234764779115</v>
      </c>
      <c r="X5">
        <f>U5/V5</f>
        <v>1.5877710644686549</v>
      </c>
      <c r="Y5" cm="1">
        <f t="array" ref="Y5">(1/('BD-5J Details'!$H$9*Linterp(10000,atmos_h,atmos_aspeed)/Linterp(0,atmos_h,atmos_aspeed)))*'HW#8 Calculations'!X5</f>
        <v>1.2656453683814315</v>
      </c>
      <c r="Z5">
        <f>SQRT(U5)/V5</f>
        <v>0.49895305979226595</v>
      </c>
      <c r="AA5" s="69" cm="1">
        <f t="array" ref="AA5">S5*0.592484*X5/('BD-5J Details'!$H$9*Linterp(10000,atmos_h,atmos_aspeed)/Linterp(0,atmos_h,atmos_aspeed))</f>
        <v>38.813247390690854</v>
      </c>
    </row>
    <row r="6" spans="1:27" ht="16.5" thickBot="1" x14ac:dyDescent="0.3">
      <c r="A6" s="55" t="s">
        <v>103</v>
      </c>
      <c r="B6" s="56" t="s">
        <v>104</v>
      </c>
      <c r="C6" s="56" t="s">
        <v>4</v>
      </c>
      <c r="D6" s="61">
        <f>W*SQRT(4*$C25*$C26)</f>
        <v>63.384540701972433</v>
      </c>
      <c r="E6" s="61">
        <f>W*SQRT(4*$C25*$C26)</f>
        <v>63.384540701972433</v>
      </c>
      <c r="I6" s="68">
        <f>10+I5</f>
        <v>61.820349238537801</v>
      </c>
      <c r="J6" cm="1">
        <f t="array" ref="J6">I6/Linterp(J$2,atmos_h,atmos_aspeed)</f>
        <v>5.5372250650309283E-2</v>
      </c>
      <c r="K6" cm="1">
        <f t="array" ref="K6">1*W/(S*0.5*Linterp(J$2,atmos_h,atmos_rho)*I6*I6)</f>
        <v>5.2421632389534656</v>
      </c>
      <c r="L6">
        <f t="shared" ref="L6:L53" si="2">$C$25+$C$26*K6*K6</f>
        <v>1.7237770762777755</v>
      </c>
      <c r="M6">
        <f t="shared" si="0"/>
        <v>295.94640569791108</v>
      </c>
      <c r="N6">
        <f t="shared" ref="N6:N53" si="3">K6/L6</f>
        <v>3.0410911660764683</v>
      </c>
      <c r="O6">
        <f>(1/'BD-5J Details'!$H$9)*'HW#8 Calculations'!N6</f>
        <v>2.3393008969818987</v>
      </c>
      <c r="P6">
        <f t="shared" ref="P6:P53" si="4">SQRT(K6)/L6</f>
        <v>1.3282327041392739</v>
      </c>
      <c r="Q6" s="69">
        <f>I6*0.592484*N6/'BD-5J Details'!$H$9</f>
        <v>85.68290220470179</v>
      </c>
      <c r="S6" s="68">
        <f>10+S5</f>
        <v>61.75964863341386</v>
      </c>
      <c r="T6" cm="1">
        <f t="array" ref="T6">S6/Linterp(T$2,atmos_h,atmos_aspeed)</f>
        <v>5.7323545221460562E-2</v>
      </c>
      <c r="U6" cm="1">
        <f t="array" ref="U6">1*W/(S*0.5*Linterp(T$2,atmos_h,atmos_rho)*S6*S6)</f>
        <v>7.1126164791848936</v>
      </c>
      <c r="V6">
        <f t="shared" ref="V6:V53" si="5">$C$25+$C$26*U6*U6</f>
        <v>3.1565374171582956</v>
      </c>
      <c r="W6">
        <f t="shared" si="1"/>
        <v>399.41471380557715</v>
      </c>
      <c r="X6">
        <f t="shared" ref="X6:X53" si="6">U6/V6</f>
        <v>2.2532970591516377</v>
      </c>
      <c r="Y6" cm="1">
        <f t="array" ref="Y6">(1/('BD-5J Details'!$H$9*Linterp(10000,atmos_h,atmos_aspeed)/Linterp(0,atmos_h,atmos_aspeed)))*'HW#8 Calculations'!X6</f>
        <v>1.7961499931081981</v>
      </c>
      <c r="Z6">
        <f t="shared" ref="Z6:Z53" si="7">SQRT(U6)/V6</f>
        <v>0.84489697278644671</v>
      </c>
      <c r="AA6" s="69" cm="1">
        <f t="array" ref="AA6">S6*0.592484*X6/('BD-5J Details'!$H$9*Linterp(10000,atmos_h,atmos_aspeed)/Linterp(0,atmos_h,atmos_aspeed))</f>
        <v>65.724008663378626</v>
      </c>
    </row>
    <row r="7" spans="1:27" ht="16.5" thickBot="1" x14ac:dyDescent="0.3">
      <c r="A7" s="58" t="s">
        <v>105</v>
      </c>
      <c r="B7" s="56" t="s">
        <v>106</v>
      </c>
      <c r="C7" s="56" t="s">
        <v>4</v>
      </c>
      <c r="D7" s="61">
        <f>SQRT((2/M2)*SQRT(C26/C25)*(W/S))</f>
        <v>187.81364784089499</v>
      </c>
      <c r="E7" s="61">
        <f>SQRT((2/W2)*SQRT(C26/C25)*(W/S))</f>
        <v>218.55459201115463</v>
      </c>
      <c r="I7" s="68">
        <f t="shared" ref="I7:I53" si="8">10+I6</f>
        <v>71.820349238537801</v>
      </c>
      <c r="J7" cm="1">
        <f t="array" ref="J7">I7/Linterp(J$2,atmos_h,atmos_aspeed)</f>
        <v>6.4329212448867218E-2</v>
      </c>
      <c r="K7" cm="1">
        <f t="array" ref="K7">1*W/(S*0.5*Linterp(J$2,atmos_h,atmos_rho)*I7*I7)</f>
        <v>3.883992867254157</v>
      </c>
      <c r="L7">
        <f t="shared" si="2"/>
        <v>0.95529483675863247</v>
      </c>
      <c r="M7">
        <f t="shared" si="0"/>
        <v>221.3612080319273</v>
      </c>
      <c r="N7">
        <f t="shared" si="3"/>
        <v>4.065753019698878</v>
      </c>
      <c r="O7">
        <f>(1/'BD-5J Details'!$H$9)*'HW#8 Calculations'!N7</f>
        <v>3.1275023228452907</v>
      </c>
      <c r="P7">
        <f t="shared" si="4"/>
        <v>2.0630121293643437</v>
      </c>
      <c r="Q7" s="69">
        <f>I7*0.592484*N7/'BD-5J Details'!$H$9</f>
        <v>133.0827542316739</v>
      </c>
      <c r="S7" s="68">
        <f t="shared" ref="S7:S53" si="9">10+S6</f>
        <v>71.75964863341386</v>
      </c>
      <c r="T7" cm="1">
        <f t="array" ref="T7">S7/Linterp(T$2,atmos_h,atmos_aspeed)</f>
        <v>6.6605260142106465E-2</v>
      </c>
      <c r="U7" cm="1">
        <f t="array" ref="U7">1*W/(S*0.5*Linterp(T$2,atmos_h,atmos_rho)*S7*S7)</f>
        <v>5.2683960758866526</v>
      </c>
      <c r="V7">
        <f t="shared" si="5"/>
        <v>1.7408718271699084</v>
      </c>
      <c r="W7">
        <f t="shared" si="1"/>
        <v>297.39310064861309</v>
      </c>
      <c r="X7">
        <f t="shared" si="6"/>
        <v>3.0262975100535412</v>
      </c>
      <c r="Y7" cm="1">
        <f t="array" ref="Y7">(1/('BD-5J Details'!$H$9*Linterp(10000,atmos_h,atmos_aspeed)/Linterp(0,atmos_h,atmos_aspeed)))*'HW#8 Calculations'!X7</f>
        <v>2.4123247442006384</v>
      </c>
      <c r="Z7">
        <f t="shared" si="7"/>
        <v>1.3184765553004232</v>
      </c>
      <c r="AA7" s="69" cm="1">
        <f t="array" ref="AA7">S7*0.592484*X7/('BD-5J Details'!$H$9*Linterp(10000,atmos_h,atmos_aspeed)/Linterp(0,atmos_h,atmos_aspeed))</f>
        <v>102.56346907864868</v>
      </c>
    </row>
    <row r="8" spans="1:27" ht="16.5" thickBot="1" x14ac:dyDescent="0.3">
      <c r="A8" s="58" t="s">
        <v>107</v>
      </c>
      <c r="B8" s="59" t="s">
        <v>108</v>
      </c>
      <c r="C8" s="59" t="s">
        <v>6</v>
      </c>
      <c r="D8" s="62" cm="1">
        <f t="array" ref="D8">D7/Linterp(J2,atmos_h, atmos_aspeed)</f>
        <v>0.16822396689587082</v>
      </c>
      <c r="E8" s="62" cm="1">
        <f t="array" ref="E8">E7/Linterp(T2,atmos_h, atmos_aspeed)</f>
        <v>0.20285614176456113</v>
      </c>
      <c r="I8" s="68">
        <f t="shared" si="8"/>
        <v>81.820349238537801</v>
      </c>
      <c r="J8" cm="1">
        <f t="array" ref="J8">I8/Linterp(J$2,atmos_h,atmos_aspeed)</f>
        <v>7.3286174247425145E-2</v>
      </c>
      <c r="K8" cm="1">
        <f t="array" ref="K8">1*W/(S*0.5*Linterp(J$2,atmos_h,atmos_rho)*I8*I8)</f>
        <v>2.9926146052297904</v>
      </c>
      <c r="L8">
        <f t="shared" si="2"/>
        <v>0.57525601487694855</v>
      </c>
      <c r="M8">
        <f t="shared" si="0"/>
        <v>173.00270221380524</v>
      </c>
      <c r="N8">
        <f t="shared" si="3"/>
        <v>5.2022308812710678</v>
      </c>
      <c r="O8">
        <f>(1/'BD-5J Details'!$H$9)*'HW#8 Calculations'!N8</f>
        <v>4.0017160625162056</v>
      </c>
      <c r="P8">
        <f t="shared" si="4"/>
        <v>3.0072132568069754</v>
      </c>
      <c r="Q8" s="69">
        <f>I8*0.592484*N8/'BD-5J Details'!$H$9</f>
        <v>193.99218118081873</v>
      </c>
      <c r="S8" s="68">
        <f t="shared" si="9"/>
        <v>81.75964863341386</v>
      </c>
      <c r="T8" cm="1">
        <f t="array" ref="T8">S8/Linterp(T$2,atmos_h,atmos_aspeed)</f>
        <v>7.5886975062752368E-2</v>
      </c>
      <c r="U8" cm="1">
        <f t="array" ref="U8">1*W/(S*0.5*Linterp(T$2,atmos_h,atmos_rho)*S8*S8)</f>
        <v>4.0584574018659962</v>
      </c>
      <c r="V8">
        <f t="shared" si="5"/>
        <v>1.0412067419311755</v>
      </c>
      <c r="W8">
        <f t="shared" si="1"/>
        <v>230.89710570996871</v>
      </c>
      <c r="X8">
        <f t="shared" si="6"/>
        <v>3.8978401103498266</v>
      </c>
      <c r="Y8" cm="1">
        <f t="array" ref="Y8">(1/('BD-5J Details'!$H$9*Linterp(10000,atmos_h,atmos_aspeed)/Linterp(0,atmos_h,atmos_aspeed)))*'HW#8 Calculations'!X8</f>
        <v>3.1070494939436006</v>
      </c>
      <c r="Z8">
        <f t="shared" si="7"/>
        <v>1.9348331711314555</v>
      </c>
      <c r="AA8" s="69" cm="1">
        <f t="array" ref="AA8">S8*0.592484*X8/('BD-5J Details'!$H$9*Linterp(10000,atmos_h,atmos_aspeed)/Linterp(0,atmos_h,atmos_aspeed))</f>
        <v>150.50946588463856</v>
      </c>
    </row>
    <row r="9" spans="1:27" ht="16.5" thickBot="1" x14ac:dyDescent="0.3">
      <c r="A9" s="53"/>
      <c r="B9" s="53"/>
      <c r="C9" s="53"/>
      <c r="D9" s="53"/>
      <c r="E9" s="53"/>
      <c r="I9" s="68">
        <f t="shared" si="8"/>
        <v>91.820349238537801</v>
      </c>
      <c r="J9" cm="1">
        <f t="array" ref="J9">I9/Linterp(J$2,atmos_h,atmos_aspeed)</f>
        <v>8.2243136045983073E-2</v>
      </c>
      <c r="K9" cm="1">
        <f t="array" ref="K9">1*W/(S*0.5*Linterp(J$2,atmos_h,atmos_rho)*I9*I9)</f>
        <v>2.3762688139545673</v>
      </c>
      <c r="L9">
        <f t="shared" si="2"/>
        <v>0.37009251552272887</v>
      </c>
      <c r="M9">
        <f t="shared" si="0"/>
        <v>140.17070039148538</v>
      </c>
      <c r="N9">
        <f t="shared" si="3"/>
        <v>6.4207426907789795</v>
      </c>
      <c r="O9">
        <f>(1/'BD-5J Details'!$H$9)*'HW#8 Calculations'!N9</f>
        <v>4.9390328390607534</v>
      </c>
      <c r="P9">
        <f t="shared" si="4"/>
        <v>4.1652155575333376</v>
      </c>
      <c r="Q9" s="69">
        <f>I9*0.592484*N9/'BD-5J Details'!$H$9</f>
        <v>268.6936981490025</v>
      </c>
      <c r="S9" s="68">
        <f t="shared" si="9"/>
        <v>91.75964863341386</v>
      </c>
      <c r="T9" cm="1">
        <f t="array" ref="T9">S9/Linterp(T$2,atmos_h,atmos_aspeed)</f>
        <v>8.5168689983398257E-2</v>
      </c>
      <c r="U9" cm="1">
        <f t="array" ref="U9">1*W/(S*0.5*Linterp(T$2,atmos_h,atmos_rho)*S9*S9)</f>
        <v>3.2220742259216961</v>
      </c>
      <c r="V9">
        <f t="shared" si="5"/>
        <v>0.66366926367563162</v>
      </c>
      <c r="W9">
        <f t="shared" si="1"/>
        <v>185.37820528861531</v>
      </c>
      <c r="X9">
        <f t="shared" si="6"/>
        <v>4.8549396548466426</v>
      </c>
      <c r="Y9" cm="1">
        <f t="array" ref="Y9">(1/('BD-5J Details'!$H$9*Linterp(10000,atmos_h,atmos_aspeed)/Linterp(0,atmos_h,atmos_aspeed)))*'HW#8 Calculations'!X9</f>
        <v>3.8699734649618964</v>
      </c>
      <c r="Z9">
        <f t="shared" si="7"/>
        <v>2.7046810966687245</v>
      </c>
      <c r="AA9" s="69" cm="1">
        <f t="array" ref="AA9">S9*0.592484*X9/('BD-5J Details'!$H$9*Linterp(10000,atmos_h,atmos_aspeed)/Linterp(0,atmos_h,atmos_aspeed))</f>
        <v>210.39545596059588</v>
      </c>
    </row>
    <row r="10" spans="1:27" ht="19.5" thickBot="1" x14ac:dyDescent="0.3">
      <c r="A10" s="55" t="s">
        <v>109</v>
      </c>
      <c r="B10" s="59" t="s">
        <v>108</v>
      </c>
      <c r="C10" s="56" t="s">
        <v>5</v>
      </c>
      <c r="D10" s="60">
        <f>SQRT(1/(4*C25*C26))</f>
        <v>14.199045856176621</v>
      </c>
      <c r="E10" s="60">
        <f>SQRT(1/(4*C25*C26))</f>
        <v>14.199045856176621</v>
      </c>
      <c r="I10" s="68">
        <f t="shared" si="8"/>
        <v>101.8203492385378</v>
      </c>
      <c r="J10" cm="1">
        <f t="array" ref="J10">I10/Linterp(J$2,atmos_h,atmos_aspeed)</f>
        <v>9.1200097844541E-2</v>
      </c>
      <c r="K10" cm="1">
        <f t="array" ref="K10">1*W/(S*0.5*Linterp(J$2,atmos_h,atmos_rho)*I10*I10)</f>
        <v>1.9324322836886627</v>
      </c>
      <c r="L10">
        <f t="shared" si="2"/>
        <v>0.25152626092461516</v>
      </c>
      <c r="M10">
        <f t="shared" si="0"/>
        <v>117.1444074614855</v>
      </c>
      <c r="N10">
        <f t="shared" si="3"/>
        <v>7.6828251514772496</v>
      </c>
      <c r="O10">
        <f>(1/'BD-5J Details'!$H$9)*'HW#8 Calculations'!N10</f>
        <v>5.9098655011363457</v>
      </c>
      <c r="P10">
        <f t="shared" si="4"/>
        <v>5.526737113882227</v>
      </c>
      <c r="Q10" s="69">
        <f>I10*0.592484*N10/'BD-5J Details'!$H$9</f>
        <v>356.52402938439627</v>
      </c>
      <c r="S10" s="68">
        <f t="shared" si="9"/>
        <v>101.75964863341386</v>
      </c>
      <c r="T10" cm="1">
        <f t="array" ref="T10">S10/Linterp(T$2,atmos_h,atmos_aspeed)</f>
        <v>9.4450404904044161E-2</v>
      </c>
      <c r="U10" cm="1">
        <f t="array" ref="U10">1*W/(S*0.5*Linterp(T$2,atmos_h,atmos_rho)*S10*S10)</f>
        <v>2.6199187754932995</v>
      </c>
      <c r="V10">
        <f t="shared" si="5"/>
        <v>0.44556641219130327</v>
      </c>
      <c r="W10">
        <f t="shared" si="1"/>
        <v>153.06190967567977</v>
      </c>
      <c r="X10">
        <f t="shared" si="6"/>
        <v>5.8799736780169178</v>
      </c>
      <c r="Y10" cm="1">
        <f t="array" ref="Y10">(1/('BD-5J Details'!$H$9*Linterp(10000,atmos_h,atmos_aspeed)/Linterp(0,atmos_h,atmos_aspeed)))*'HW#8 Calculations'!X10</f>
        <v>4.6870494231341109</v>
      </c>
      <c r="Z10">
        <f t="shared" si="7"/>
        <v>3.6327161805915895</v>
      </c>
      <c r="AA10" s="69" cm="1">
        <f t="array" ref="AA10">S10*0.592484*X10/('BD-5J Details'!$H$9*Linterp(10000,atmos_h,atmos_aspeed)/Linterp(0,atmos_h,atmos_aspeed))</f>
        <v>282.58672644711277</v>
      </c>
    </row>
    <row r="11" spans="1:27" ht="16.5" thickBot="1" x14ac:dyDescent="0.3">
      <c r="A11" s="58" t="s">
        <v>105</v>
      </c>
      <c r="B11" s="56" t="s">
        <v>106</v>
      </c>
      <c r="C11" s="56" t="s">
        <v>4</v>
      </c>
      <c r="D11" s="61">
        <f>SQRT((2/M2)*SQRT(C26/C25)*(W/S))</f>
        <v>187.81364784089499</v>
      </c>
      <c r="E11" s="61">
        <f>SQRT((2/W2)*SQRT(C26/C25)*(W/S))</f>
        <v>218.55459201115463</v>
      </c>
      <c r="I11" s="68">
        <f t="shared" si="8"/>
        <v>111.8203492385378</v>
      </c>
      <c r="J11" cm="1">
        <f t="array" ref="J11">I11/Linterp(J$2,atmos_h,atmos_aspeed)</f>
        <v>0.10015705964309893</v>
      </c>
      <c r="K11" cm="1">
        <f t="array" ref="K11">1*W/(S*0.5*Linterp(J$2,atmos_h,atmos_rho)*I11*I11)</f>
        <v>1.6022554603321886</v>
      </c>
      <c r="L11">
        <f t="shared" si="2"/>
        <v>0.17916779873018743</v>
      </c>
      <c r="M11">
        <f t="shared" si="0"/>
        <v>100.64001830503184</v>
      </c>
      <c r="N11">
        <f t="shared" si="3"/>
        <v>8.9427646691415728</v>
      </c>
      <c r="O11">
        <f>(1/'BD-5J Details'!$H$9)*'HW#8 Calculations'!N11</f>
        <v>6.8790497454935169</v>
      </c>
      <c r="P11">
        <f t="shared" si="4"/>
        <v>7.0648984250607905</v>
      </c>
      <c r="Q11" s="69">
        <f>I11*0.592484*N11/'BD-5J Details'!$H$9</f>
        <v>455.74920641101863</v>
      </c>
      <c r="S11" s="68">
        <f t="shared" si="9"/>
        <v>111.75964863341386</v>
      </c>
      <c r="T11" cm="1">
        <f t="array" ref="T11">S11/Linterp(T$2,atmos_h,atmos_aspeed)</f>
        <v>0.10373211982469006</v>
      </c>
      <c r="U11" cm="1">
        <f t="array" ref="U11">1*W/(S*0.5*Linterp(T$2,atmos_h,atmos_rho)*S11*S11)</f>
        <v>2.1720457533846078</v>
      </c>
      <c r="V11">
        <f t="shared" si="5"/>
        <v>0.31250253079735879</v>
      </c>
      <c r="W11">
        <f t="shared" si="1"/>
        <v>129.48727128761413</v>
      </c>
      <c r="X11">
        <f t="shared" si="6"/>
        <v>6.9504901219282074</v>
      </c>
      <c r="Y11" cm="1">
        <f t="array" ref="Y11">(1/('BD-5J Details'!$H$9*Linterp(10000,atmos_h,atmos_aspeed)/Linterp(0,atmos_h,atmos_aspeed)))*'HW#8 Calculations'!X11</f>
        <v>5.5403803656940811</v>
      </c>
      <c r="Z11">
        <f t="shared" si="7"/>
        <v>4.7160776358262897</v>
      </c>
      <c r="AA11" s="69" cm="1">
        <f t="array" ref="AA11">S11*0.592484*X11/('BD-5J Details'!$H$9*Linterp(10000,atmos_h,atmos_aspeed)/Linterp(0,atmos_h,atmos_aspeed))</f>
        <v>366.86073850161307</v>
      </c>
    </row>
    <row r="12" spans="1:27" ht="16.5" thickBot="1" x14ac:dyDescent="0.3">
      <c r="A12" s="58" t="s">
        <v>107</v>
      </c>
      <c r="B12" s="59" t="s">
        <v>108</v>
      </c>
      <c r="C12" s="59" t="s">
        <v>6</v>
      </c>
      <c r="D12" s="62" cm="1">
        <f t="array" ref="D12">D7/Linterp(J2,atmos_h, atmos_aspeed)</f>
        <v>0.16822396689587082</v>
      </c>
      <c r="E12" s="62" cm="1">
        <f t="array" ref="E12">E7/Linterp(T2,atmos_h, atmos_aspeed)</f>
        <v>0.20285614176456113</v>
      </c>
      <c r="I12" s="68">
        <f t="shared" si="8"/>
        <v>121.8203492385378</v>
      </c>
      <c r="J12" cm="1">
        <f t="array" ref="J12">I12/Linterp(J$2,atmos_h,atmos_aspeed)</f>
        <v>0.10911402144165686</v>
      </c>
      <c r="K12" cm="1">
        <f t="array" ref="K12">1*W/(S*0.5*Linterp(J$2,atmos_h,atmos_rho)*I12*I12)</f>
        <v>1.35</v>
      </c>
      <c r="L12">
        <f t="shared" si="2"/>
        <v>0.13299500000000003</v>
      </c>
      <c r="M12">
        <f t="shared" si="0"/>
        <v>88.663333333333341</v>
      </c>
      <c r="N12">
        <f t="shared" si="3"/>
        <v>10.150757547276212</v>
      </c>
      <c r="O12">
        <f>(1/'BD-5J Details'!$H$9)*'HW#8 Calculations'!N12</f>
        <v>7.8082750363663163</v>
      </c>
      <c r="P12">
        <f t="shared" si="4"/>
        <v>8.7363810959977801</v>
      </c>
      <c r="Q12" s="69">
        <f>I12*0.592484*N12/'BD-5J Details'!$H$9</f>
        <v>563.57480488064527</v>
      </c>
      <c r="S12" s="68">
        <f t="shared" si="9"/>
        <v>121.75964863341386</v>
      </c>
      <c r="T12" cm="1">
        <f t="array" ref="T12">S12/Linterp(T$2,atmos_h,atmos_aspeed)</f>
        <v>0.11301383474533597</v>
      </c>
      <c r="U12" cm="1">
        <f t="array" ref="U12">1*W/(S*0.5*Linterp(T$2,atmos_h,atmos_rho)*S12*S12)</f>
        <v>1.8299206261011567</v>
      </c>
      <c r="V12">
        <f t="shared" si="5"/>
        <v>0.22761378886548786</v>
      </c>
      <c r="W12">
        <f t="shared" si="1"/>
        <v>111.94606315542725</v>
      </c>
      <c r="X12">
        <f t="shared" si="6"/>
        <v>8.0395859812455317</v>
      </c>
      <c r="Y12" cm="1">
        <f t="array" ref="Y12">(1/('BD-5J Details'!$H$9*Linterp(10000,atmos_h,atmos_aspeed)/Linterp(0,atmos_h,atmos_aspeed)))*'HW#8 Calculations'!X12</f>
        <v>6.4085213470449718</v>
      </c>
      <c r="Z12">
        <f t="shared" si="7"/>
        <v>5.9431618569074409</v>
      </c>
      <c r="AA12" s="69" cm="1">
        <f t="array" ref="AA12">S12*0.592484*X12/('BD-5J Details'!$H$9*Linterp(10000,atmos_h,atmos_aspeed)/Linterp(0,atmos_h,atmos_aspeed))</f>
        <v>462.31485489056769</v>
      </c>
    </row>
    <row r="13" spans="1:27" ht="16.5" thickBot="1" x14ac:dyDescent="0.3">
      <c r="A13" s="55" t="s">
        <v>110</v>
      </c>
      <c r="B13" s="56" t="s">
        <v>111</v>
      </c>
      <c r="C13" s="56" t="s">
        <v>5</v>
      </c>
      <c r="D13" s="60">
        <f>(1/'BD-5J Details'!$H$9)*D10</f>
        <v>10.922342966289708</v>
      </c>
      <c r="E13" s="60" cm="1">
        <f t="array" ref="E13">(1/('BD-5J Details'!$H$9*Linterp(10000,atmos_h,atmos_aspeed)/Linterp(0,atmos_h,atmos_aspeed))*E10)</f>
        <v>11.318355035849864</v>
      </c>
      <c r="I13" s="68">
        <f t="shared" si="8"/>
        <v>131.8203492385378</v>
      </c>
      <c r="J13" cm="1">
        <f t="array" ref="J13">I13/Linterp(J$2,atmos_h,atmos_aspeed)</f>
        <v>0.11807098324021478</v>
      </c>
      <c r="K13" cm="1">
        <f t="array" ref="K13">1*W/(S*0.5*Linterp(J$2,atmos_h,atmos_rho)*I13*I13)</f>
        <v>1.1529448483627465</v>
      </c>
      <c r="L13">
        <f t="shared" si="2"/>
        <v>0.10241547304870417</v>
      </c>
      <c r="M13">
        <f t="shared" si="0"/>
        <v>79.946517714812174</v>
      </c>
      <c r="N13">
        <f t="shared" si="3"/>
        <v>11.257525977685598</v>
      </c>
      <c r="O13">
        <f>(1/'BD-5J Details'!$H$9)*'HW#8 Calculations'!N13</f>
        <v>8.6596353674504591</v>
      </c>
      <c r="P13">
        <f t="shared" si="4"/>
        <v>10.484281937728014</v>
      </c>
      <c r="Q13" s="69">
        <f>I13*0.592484*N13/'BD-5J Details'!$H$9</f>
        <v>676.33005960277546</v>
      </c>
      <c r="S13" s="68">
        <f t="shared" si="9"/>
        <v>131.75964863341386</v>
      </c>
      <c r="T13" cm="1">
        <f t="array" ref="T13">S13/Linterp(T$2,atmos_h,atmos_aspeed)</f>
        <v>0.12229554966598186</v>
      </c>
      <c r="U13" cm="1">
        <f t="array" ref="U13">1*W/(S*0.5*Linterp(T$2,atmos_h,atmos_rho)*S13*S13)</f>
        <v>1.5626948059356496</v>
      </c>
      <c r="V13">
        <f t="shared" si="5"/>
        <v>0.17140493350289196</v>
      </c>
      <c r="W13">
        <f t="shared" si="1"/>
        <v>98.716934085052074</v>
      </c>
      <c r="X13">
        <f t="shared" si="6"/>
        <v>9.1169768220777829</v>
      </c>
      <c r="Y13" cm="1">
        <f t="array" ref="Y13">(1/('BD-5J Details'!$H$9*Linterp(10000,atmos_h,atmos_aspeed)/Linterp(0,atmos_h,atmos_aspeed)))*'HW#8 Calculations'!X13</f>
        <v>7.2673320144961009</v>
      </c>
      <c r="Z13">
        <f t="shared" si="7"/>
        <v>7.2931268336250143</v>
      </c>
      <c r="AA13" s="69" cm="1">
        <f t="array" ref="AA13">S13*0.592484*X13/('BD-5J Details'!$H$9*Linterp(10000,atmos_h,atmos_aspeed)/Linterp(0,atmos_h,atmos_aspeed))</f>
        <v>567.32778863612316</v>
      </c>
    </row>
    <row r="14" spans="1:27" ht="16.5" thickBot="1" x14ac:dyDescent="0.3">
      <c r="A14" s="53"/>
      <c r="B14" s="53"/>
      <c r="C14" s="53"/>
      <c r="D14" s="53"/>
      <c r="E14" s="53"/>
      <c r="F14">
        <f>D15*SQRT(F16)</f>
        <v>12.296491615826723</v>
      </c>
      <c r="I14" s="68">
        <f t="shared" si="8"/>
        <v>141.8203492385378</v>
      </c>
      <c r="J14" cm="1">
        <f t="array" ref="J14">I14/Linterp(J$2,atmos_h,atmos_aspeed)</f>
        <v>0.12702794503877271</v>
      </c>
      <c r="K14" cm="1">
        <f t="array" ref="K14">1*W/(S*0.5*Linterp(J$2,atmos_h,atmos_rho)*I14*I14)</f>
        <v>0.99608488024303887</v>
      </c>
      <c r="L14">
        <f t="shared" si="2"/>
        <v>8.1515475496224926E-2</v>
      </c>
      <c r="M14">
        <f t="shared" si="0"/>
        <v>73.652285464570113</v>
      </c>
      <c r="N14">
        <f t="shared" si="3"/>
        <v>12.219580075800069</v>
      </c>
      <c r="O14">
        <f>(1/'BD-5J Details'!$H$9)*'HW#8 Calculations'!N14</f>
        <v>9.3996769813846672</v>
      </c>
      <c r="P14">
        <f t="shared" si="4"/>
        <v>12.243571104329426</v>
      </c>
      <c r="Q14" s="69">
        <f>I14*0.592484*N14/'BD-5J Details'!$H$9</f>
        <v>789.81996324837462</v>
      </c>
      <c r="S14" s="68">
        <f t="shared" si="9"/>
        <v>141.75964863341386</v>
      </c>
      <c r="T14" cm="1">
        <f t="array" ref="T14">S14/Linterp(T$2,atmos_h,atmos_aspeed)</f>
        <v>0.13157726458662777</v>
      </c>
      <c r="U14" cm="1">
        <f t="array" ref="U14">1*W/(S*0.5*Linterp(T$2,atmos_h,atmos_rho)*S14*S14)</f>
        <v>1.3499999999999999</v>
      </c>
      <c r="V14">
        <f t="shared" si="5"/>
        <v>0.13299499999999997</v>
      </c>
      <c r="W14">
        <f t="shared" si="1"/>
        <v>88.663333333333327</v>
      </c>
      <c r="X14">
        <f t="shared" si="6"/>
        <v>10.150757547276214</v>
      </c>
      <c r="Y14" cm="1">
        <f t="array" ref="Y14">(1/('BD-5J Details'!$H$9*Linterp(10000,atmos_h,atmos_aspeed)/Linterp(0,atmos_h,atmos_aspeed)))*'HW#8 Calculations'!X14</f>
        <v>8.0913801509365051</v>
      </c>
      <c r="Z14">
        <f t="shared" si="7"/>
        <v>8.7363810959977837</v>
      </c>
      <c r="AA14" s="69" cm="1">
        <f t="array" ref="AA14">S14*0.592484*X14/('BD-5J Details'!$H$9*Linterp(10000,atmos_h,atmos_aspeed)/Linterp(0,atmos_h,atmos_aspeed))</f>
        <v>679.59763774069745</v>
      </c>
    </row>
    <row r="15" spans="1:27" ht="19.5" thickBot="1" x14ac:dyDescent="0.3">
      <c r="A15" s="55" t="s">
        <v>112</v>
      </c>
      <c r="B15" s="59" t="s">
        <v>108</v>
      </c>
      <c r="C15" s="56" t="s">
        <v>5</v>
      </c>
      <c r="D15" s="60">
        <f>0.75*POWER(1/(3*C26*C25*C25*C25),0.25)</f>
        <v>21.473880431482151</v>
      </c>
      <c r="E15" s="60">
        <f>0.75*POWER(1/(3*C26*C25*C25*C25),0.25)</f>
        <v>21.473880431482151</v>
      </c>
      <c r="F15" t="s">
        <v>124</v>
      </c>
      <c r="I15" s="68">
        <f t="shared" si="8"/>
        <v>151.8203492385378</v>
      </c>
      <c r="J15" cm="1">
        <f t="array" ref="J15">I15/Linterp(J$2,atmos_h,atmos_aspeed)</f>
        <v>0.13598490683733064</v>
      </c>
      <c r="K15" cm="1">
        <f t="array" ref="K15">1*W/(S*0.5*Linterp(J$2,atmos_h,atmos_rho)*I15*I15)</f>
        <v>0.86918750940417933</v>
      </c>
      <c r="L15">
        <f t="shared" si="2"/>
        <v>6.6840189443262907E-2</v>
      </c>
      <c r="M15">
        <f t="shared" si="0"/>
        <v>69.209658270599363</v>
      </c>
      <c r="N15">
        <f t="shared" si="3"/>
        <v>13.003965378374437</v>
      </c>
      <c r="O15">
        <f>(1/'BD-5J Details'!$H$9)*'HW#8 Calculations'!N15</f>
        <v>10.003050291057258</v>
      </c>
      <c r="P15">
        <f t="shared" si="4"/>
        <v>13.948228912323563</v>
      </c>
      <c r="Q15" s="69">
        <f>I15*0.592484*N15/'BD-5J Details'!$H$9</f>
        <v>899.78565510317173</v>
      </c>
      <c r="S15" s="68">
        <f t="shared" si="9"/>
        <v>151.75964863341386</v>
      </c>
      <c r="T15" cm="1">
        <f t="array" ref="T15">S15/Linterp(T$2,atmos_h,atmos_aspeed)</f>
        <v>0.14085897950727366</v>
      </c>
      <c r="U15" cm="1">
        <f t="array" ref="U15">1*W/(S*0.5*Linterp(T$2,atmos_h,atmos_rho)*S15*S15)</f>
        <v>1.1779487616867825</v>
      </c>
      <c r="V15">
        <f t="shared" si="5"/>
        <v>0.10602892367988431</v>
      </c>
      <c r="W15">
        <f t="shared" si="1"/>
        <v>81.010341379576687</v>
      </c>
      <c r="X15">
        <f t="shared" si="6"/>
        <v>11.109692721612166</v>
      </c>
      <c r="Y15" cm="1">
        <f t="array" ref="Y15">(1/('BD-5J Details'!$H$9*Linterp(10000,atmos_h,atmos_aspeed)/Linterp(0,atmos_h,atmos_aspeed)))*'HW#8 Calculations'!X15</f>
        <v>8.8557673407121875</v>
      </c>
      <c r="Z15">
        <f t="shared" si="7"/>
        <v>10.236201989183803</v>
      </c>
      <c r="AA15" s="69" cm="1">
        <f t="array" ref="AA15">S15*0.592484*X15/('BD-5J Details'!$H$9*Linterp(10000,atmos_h,atmos_aspeed)/Linterp(0,atmos_h,atmos_aspeed))</f>
        <v>796.26776978316286</v>
      </c>
    </row>
    <row r="16" spans="1:27" ht="16.5" thickBot="1" x14ac:dyDescent="0.3">
      <c r="A16" s="58" t="s">
        <v>105</v>
      </c>
      <c r="B16" s="56" t="s">
        <v>106</v>
      </c>
      <c r="C16" s="56" t="s">
        <v>4</v>
      </c>
      <c r="D16" s="61">
        <f>1.3161*D11</f>
        <v>247.18154192340191</v>
      </c>
      <c r="E16" s="61">
        <f>1.3161*E11</f>
        <v>287.63969854588061</v>
      </c>
      <c r="F16" s="51">
        <f>1*W/(0.5*M2*D16*D16*S)</f>
        <v>0.32789996841329683</v>
      </c>
      <c r="G16" s="51">
        <f>1*W/(0.5*W2*E16*E16*S)</f>
        <v>0.32789996841329699</v>
      </c>
      <c r="I16" s="68">
        <f t="shared" si="8"/>
        <v>161.8203492385378</v>
      </c>
      <c r="J16" cm="1">
        <f t="array" ref="J16">I16/Linterp(J$2,atmos_h,atmos_aspeed)</f>
        <v>0.14494186863588857</v>
      </c>
      <c r="K16" cm="1">
        <f t="array" ref="K16">1*W/(S*0.5*Linterp(J$2,atmos_h,atmos_rho)*I16*I16)</f>
        <v>0.76508058395706913</v>
      </c>
      <c r="L16">
        <f t="shared" si="2"/>
        <v>5.6291594596781583E-2</v>
      </c>
      <c r="M16">
        <f t="shared" si="0"/>
        <v>66.21843005748822</v>
      </c>
      <c r="N16">
        <f t="shared" si="3"/>
        <v>13.591382326924025</v>
      </c>
      <c r="O16">
        <f>(1/'BD-5J Details'!$H$9)*'HW#8 Calculations'!N16</f>
        <v>10.454909482249249</v>
      </c>
      <c r="P16">
        <f t="shared" si="4"/>
        <v>15.538533879901708</v>
      </c>
      <c r="Q16" s="69">
        <f>I16*0.592484*N16/'BD-5J Details'!$H$9</f>
        <v>1002.3745648537041</v>
      </c>
      <c r="S16" s="68">
        <f t="shared" si="9"/>
        <v>161.75964863341386</v>
      </c>
      <c r="T16" cm="1">
        <f t="array" ref="T16">S16/Linterp(T$2,atmos_h,atmos_aspeed)</f>
        <v>0.15014069442791955</v>
      </c>
      <c r="U16" cm="1">
        <f t="array" ref="U16">1*W/(S*0.5*Linterp(T$2,atmos_h,atmos_rho)*S16*S16)</f>
        <v>1.0368087051066071</v>
      </c>
      <c r="V16">
        <f t="shared" si="5"/>
        <v>8.6648282041060037E-2</v>
      </c>
      <c r="W16">
        <f t="shared" si="1"/>
        <v>75.214891091154172</v>
      </c>
      <c r="X16">
        <f t="shared" si="6"/>
        <v>11.965715657412508</v>
      </c>
      <c r="Y16" cm="1">
        <f t="array" ref="Y16">(1/('BD-5J Details'!$H$9*Linterp(10000,atmos_h,atmos_aspeed)/Linterp(0,atmos_h,atmos_aspeed)))*'HW#8 Calculations'!X16</f>
        <v>9.5381210428100047</v>
      </c>
      <c r="Z16">
        <f t="shared" si="7"/>
        <v>11.751393282421846</v>
      </c>
      <c r="AA16" s="69" cm="1">
        <f t="array" ref="AA16">S16*0.592484*X16/('BD-5J Details'!$H$9*Linterp(10000,atmos_h,atmos_aspeed)/Linterp(0,atmos_h,atmos_aspeed))</f>
        <v>914.13355566120481</v>
      </c>
    </row>
    <row r="17" spans="1:27" ht="16.5" thickBot="1" x14ac:dyDescent="0.3">
      <c r="A17" s="58" t="s">
        <v>107</v>
      </c>
      <c r="B17" s="59" t="s">
        <v>108</v>
      </c>
      <c r="C17" s="59" t="s">
        <v>6</v>
      </c>
      <c r="D17" s="62" cm="1">
        <f t="array" ref="D17">D16/Linterp(J2,atmos_h, atmos_aspeed)</f>
        <v>0.2213995628316556</v>
      </c>
      <c r="E17" s="62" cm="1">
        <f t="array" ref="E17">E16/Linterp(T2,atmos_h, atmos_aspeed)</f>
        <v>0.26697896817633887</v>
      </c>
      <c r="I17" s="68">
        <f t="shared" si="8"/>
        <v>171.8203492385378</v>
      </c>
      <c r="J17" cm="1">
        <f t="array" ref="J17">I17/Linterp(J$2,atmos_h,atmos_aspeed)</f>
        <v>0.15389883043444649</v>
      </c>
      <c r="K17" cm="1">
        <f t="array" ref="K17">1*W/(S*0.5*Linterp(J$2,atmos_h,atmos_rho)*I17*I17)</f>
        <v>0.67861624858553049</v>
      </c>
      <c r="L17">
        <f t="shared" si="2"/>
        <v>4.8552240796346506E-2</v>
      </c>
      <c r="M17">
        <f t="shared" si="0"/>
        <v>64.391350498593951</v>
      </c>
      <c r="N17">
        <f t="shared" si="3"/>
        <v>13.977032521155964</v>
      </c>
      <c r="O17">
        <f>(1/'BD-5J Details'!$H$9)*'HW#8 Calculations'!N17</f>
        <v>10.75156347781228</v>
      </c>
      <c r="P17">
        <f t="shared" si="4"/>
        <v>16.966913613129041</v>
      </c>
      <c r="Q17" s="69">
        <f>I17*0.592484*N17/'BD-5J Details'!$H$9</f>
        <v>1094.5178471354075</v>
      </c>
      <c r="S17" s="68">
        <f t="shared" si="9"/>
        <v>171.75964863341386</v>
      </c>
      <c r="T17" cm="1">
        <f t="array" ref="T17">S17/Linterp(T$2,atmos_h,atmos_aspeed)</f>
        <v>0.15942240934856547</v>
      </c>
      <c r="U17" cm="1">
        <f t="array" ref="U17">1*W/(S*0.5*Linterp(T$2,atmos_h,atmos_rho)*S17*S17)</f>
        <v>0.91959529099547443</v>
      </c>
      <c r="V17">
        <f t="shared" si="5"/>
        <v>7.2430640951705177E-2</v>
      </c>
      <c r="W17">
        <f t="shared" si="1"/>
        <v>70.887245177134631</v>
      </c>
      <c r="X17">
        <f t="shared" si="6"/>
        <v>12.696219154109599</v>
      </c>
      <c r="Y17" cm="1">
        <f t="array" ref="Y17">(1/('BD-5J Details'!$H$9*Linterp(10000,atmos_h,atmos_aspeed)/Linterp(0,atmos_h,atmos_aspeed)))*'HW#8 Calculations'!X17</f>
        <v>10.120420587039648</v>
      </c>
      <c r="Z17">
        <f t="shared" si="7"/>
        <v>13.239635873760932</v>
      </c>
      <c r="AA17" s="69" cm="1">
        <f t="array" ref="AA17">S17*0.592484*X17/('BD-5J Details'!$H$9*Linterp(10000,atmos_h,atmos_aspeed)/Linterp(0,atmos_h,atmos_aspeed))</f>
        <v>1029.9030188228417</v>
      </c>
    </row>
    <row r="18" spans="1:27" ht="16.5" thickBot="1" x14ac:dyDescent="0.3">
      <c r="A18" s="55" t="s">
        <v>113</v>
      </c>
      <c r="B18" s="56" t="s">
        <v>114</v>
      </c>
      <c r="C18" s="56" t="s">
        <v>4</v>
      </c>
      <c r="D18" s="61">
        <f>(D16*0.592484/'BD-5J Details'!$H$9)*D15*SQRT(F16)</f>
        <v>1385.2575615945791</v>
      </c>
      <c r="E18" s="61" cm="1">
        <f t="array" ref="E18">(E16*0.592484/('BD-5J Details'!$H$9*Linterp(10000,atmos_h,atmos_aspeed)/Linterp(0,atmos_h,atmos_aspeed)))*E15*SQRT(G16)</f>
        <v>1670.4397683666664</v>
      </c>
      <c r="I18" s="68">
        <f t="shared" si="8"/>
        <v>181.8203492385378</v>
      </c>
      <c r="J18" cm="1">
        <f t="array" ref="J18">I18/Linterp(J$2,atmos_h,atmos_aspeed)</f>
        <v>0.16285579223300442</v>
      </c>
      <c r="K18" cm="1">
        <f t="array" ref="K18">1*W/(S*0.5*Linterp(J$2,atmos_h,atmos_rho)*I18*I18)</f>
        <v>0.60602211630317382</v>
      </c>
      <c r="L18">
        <f t="shared" si="2"/>
        <v>4.2770293937811808E-2</v>
      </c>
      <c r="M18">
        <f t="shared" si="0"/>
        <v>63.517920400076058</v>
      </c>
      <c r="N18">
        <f t="shared" si="3"/>
        <v>14.169229633640876</v>
      </c>
      <c r="O18">
        <f>(1/'BD-5J Details'!$H$9)*'HW#8 Calculations'!N18</f>
        <v>10.89940741049298</v>
      </c>
      <c r="P18">
        <f t="shared" si="4"/>
        <v>18.201282984087548</v>
      </c>
      <c r="Q18" s="69">
        <f>I18*0.592484*N18/'BD-5J Details'!$H$9</f>
        <v>1174.1457239123574</v>
      </c>
      <c r="S18" s="68">
        <f t="shared" si="9"/>
        <v>181.75964863341386</v>
      </c>
      <c r="T18" cm="1">
        <f t="array" ref="T18">S18/Linterp(T$2,atmos_h,atmos_aspeed)</f>
        <v>0.16870412426921136</v>
      </c>
      <c r="U18" cm="1">
        <f t="array" ref="U18">1*W/(S*0.5*Linterp(T$2,atmos_h,atmos_rho)*S18*S18)</f>
        <v>0.82119080096861752</v>
      </c>
      <c r="V18">
        <f t="shared" si="5"/>
        <v>6.1809968558919737E-2</v>
      </c>
      <c r="W18">
        <f t="shared" si="1"/>
        <v>67.741834951648073</v>
      </c>
      <c r="X18">
        <f t="shared" si="6"/>
        <v>13.285734002369303</v>
      </c>
      <c r="Y18" cm="1">
        <f t="array" ref="Y18">(1/('BD-5J Details'!$H$9*Linterp(10000,atmos_h,atmos_aspeed)/Linterp(0,atmos_h,atmos_aspeed)))*'HW#8 Calculations'!X18</f>
        <v>10.590335144615782</v>
      </c>
      <c r="Z18">
        <f t="shared" si="7"/>
        <v>14.660997347957347</v>
      </c>
      <c r="AA18" s="69" cm="1">
        <f t="array" ref="AA18">S18*0.592484*X18/('BD-5J Details'!$H$9*Linterp(10000,atmos_h,atmos_aspeed)/Linterp(0,atmos_h,atmos_aspeed))</f>
        <v>1140.4698415867927</v>
      </c>
    </row>
    <row r="19" spans="1:27" ht="16.5" thickBot="1" x14ac:dyDescent="0.3">
      <c r="A19" s="53"/>
      <c r="B19" s="53"/>
      <c r="C19" s="53"/>
      <c r="D19" s="53"/>
      <c r="E19" s="53"/>
      <c r="I19" s="68">
        <f t="shared" si="8"/>
        <v>191.8203492385378</v>
      </c>
      <c r="J19" cm="1">
        <f t="array" ref="J19">I19/Linterp(J$2,atmos_h,atmos_aspeed)</f>
        <v>0.17181275403156235</v>
      </c>
      <c r="K19" cm="1">
        <f t="array" ref="K19">1*W/(S*0.5*Linterp(J$2,atmos_h,atmos_rho)*I19*I19)</f>
        <v>0.54448271111332813</v>
      </c>
      <c r="L19">
        <f t="shared" si="2"/>
        <v>3.8380608207481834E-2</v>
      </c>
      <c r="M19">
        <f t="shared" si="0"/>
        <v>63.441036201320259</v>
      </c>
      <c r="N19">
        <f t="shared" si="3"/>
        <v>14.186401324593596</v>
      </c>
      <c r="O19">
        <f>(1/'BD-5J Details'!$H$9)*'HW#8 Calculations'!N19</f>
        <v>10.912616403533535</v>
      </c>
      <c r="P19">
        <f t="shared" si="4"/>
        <v>19.225612934697359</v>
      </c>
      <c r="Q19" s="69">
        <f>I19*0.592484*N19/'BD-5J Details'!$H$9</f>
        <v>1240.2241774167255</v>
      </c>
      <c r="S19" s="68">
        <f t="shared" si="9"/>
        <v>191.75964863341386</v>
      </c>
      <c r="T19" cm="1">
        <f t="array" ref="T19">S19/Linterp(T$2,atmos_h,atmos_aspeed)</f>
        <v>0.17798583918985728</v>
      </c>
      <c r="U19" cm="1">
        <f t="array" ref="U19">1*W/(S*0.5*Linterp(T$2,atmos_h,atmos_rho)*S19*S19)</f>
        <v>0.73777608620474699</v>
      </c>
      <c r="V19">
        <f t="shared" si="5"/>
        <v>5.374744030928684E-2</v>
      </c>
      <c r="W19">
        <f t="shared" si="1"/>
        <v>65.56555191046651</v>
      </c>
      <c r="X19">
        <f t="shared" si="6"/>
        <v>13.726720416065454</v>
      </c>
      <c r="Y19" cm="1">
        <f t="array" ref="Y19">(1/('BD-5J Details'!$H$9*Linterp(10000,atmos_h,atmos_aspeed)/Linterp(0,atmos_h,atmos_aspeed)))*'HW#8 Calculations'!X19</f>
        <v>10.941854595060265</v>
      </c>
      <c r="Z19">
        <f t="shared" si="7"/>
        <v>15.981020221339879</v>
      </c>
      <c r="AA19" s="69" cm="1">
        <f t="array" ref="AA19">S19*0.592484*X19/('BD-5J Details'!$H$9*Linterp(10000,atmos_h,atmos_aspeed)/Linterp(0,atmos_h,atmos_aspeed))</f>
        <v>1243.1535977848159</v>
      </c>
    </row>
    <row r="20" spans="1:27" ht="16.5" thickBot="1" x14ac:dyDescent="0.3">
      <c r="A20" s="53" t="s">
        <v>115</v>
      </c>
      <c r="B20" s="54" t="s">
        <v>99</v>
      </c>
      <c r="C20" s="54" t="s">
        <v>100</v>
      </c>
      <c r="D20" s="54" t="s">
        <v>101</v>
      </c>
      <c r="E20" s="54" t="s">
        <v>102</v>
      </c>
      <c r="I20" s="68">
        <f t="shared" si="8"/>
        <v>201.8203492385378</v>
      </c>
      <c r="J20" cm="1">
        <f t="array" ref="J20">I20/Linterp(J$2,atmos_h,atmos_aspeed)</f>
        <v>0.18076971583012028</v>
      </c>
      <c r="K20" cm="1">
        <f t="array" ref="K20">1*W/(S*0.5*Linterp(J$2,atmos_h,atmos_rho)*I20*I20)</f>
        <v>0.49186230673408626</v>
      </c>
      <c r="L20">
        <f t="shared" si="2"/>
        <v>3.4999568784718132E-2</v>
      </c>
      <c r="M20">
        <f t="shared" si="0"/>
        <v>64.041524375796172</v>
      </c>
      <c r="N20">
        <f t="shared" si="3"/>
        <v>14.053381907632193</v>
      </c>
      <c r="O20">
        <f>(1/'BD-5J Details'!$H$9)*'HW#8 Calculations'!N20</f>
        <v>10.810293775101686</v>
      </c>
      <c r="P20">
        <f t="shared" si="4"/>
        <v>20.038217096029694</v>
      </c>
      <c r="Q20" s="69">
        <f>I20*0.592484*N20/'BD-5J Details'!$H$9</f>
        <v>1292.6444217531207</v>
      </c>
      <c r="S20" s="68">
        <f t="shared" si="9"/>
        <v>201.75964863341386</v>
      </c>
      <c r="T20" cm="1">
        <f t="array" ref="T20">S20/Linterp(T$2,atmos_h,atmos_aspeed)</f>
        <v>0.18726755411050316</v>
      </c>
      <c r="U20" cm="1">
        <f t="array" ref="U20">1*W/(S*0.5*Linterp(T$2,atmos_h,atmos_rho)*S20*S20)</f>
        <v>0.66645433758491845</v>
      </c>
      <c r="V20">
        <f t="shared" si="5"/>
        <v>4.7538005813316658E-2</v>
      </c>
      <c r="W20">
        <f t="shared" si="1"/>
        <v>64.196754104752898</v>
      </c>
      <c r="X20">
        <f t="shared" si="6"/>
        <v>14.019400397275961</v>
      </c>
      <c r="Y20" cm="1">
        <f t="array" ref="Y20">(1/('BD-5J Details'!$H$9*Linterp(10000,atmos_h,atmos_aspeed)/Linterp(0,atmos_h,atmos_aspeed)))*'HW#8 Calculations'!X20</f>
        <v>11.175155900850848</v>
      </c>
      <c r="Z20">
        <f t="shared" si="7"/>
        <v>17.172923687670554</v>
      </c>
      <c r="AA20" s="69" cm="1">
        <f t="array" ref="AA20">S20*0.592484*X20/('BD-5J Details'!$H$9*Linterp(10000,atmos_h,atmos_aspeed)/Linterp(0,atmos_h,atmos_aspeed))</f>
        <v>1335.8710251992809</v>
      </c>
    </row>
    <row r="21" spans="1:27" ht="16.5" thickBot="1" x14ac:dyDescent="0.3">
      <c r="A21" s="58" t="s">
        <v>116</v>
      </c>
      <c r="B21" s="56" t="s">
        <v>114</v>
      </c>
      <c r="C21" s="56" t="s">
        <v>4</v>
      </c>
      <c r="D21" s="61">
        <f>(D16*0.592484/'BD-5J Details'!$H$9)*D15*SQRT(F16)*LN(W/(W-100))</f>
        <v>163.1598407705691</v>
      </c>
      <c r="E21" s="61" cm="1">
        <f t="array" ref="E21">(E16*0.592484/('BD-5J Details'!$H$9*Linterp(10000,atmos_h,atmos_aspeed)/Linterp(0,atmos_h,atmos_aspeed)))*E15*SQRT(G16)*LN(W/(W-100))</f>
        <v>196.74946679937199</v>
      </c>
      <c r="I21" s="68">
        <f t="shared" si="8"/>
        <v>211.8203492385378</v>
      </c>
      <c r="J21" cm="1">
        <f t="array" ref="J21">I21/Linterp(J$2,atmos_h,atmos_aspeed)</f>
        <v>0.1897266776286782</v>
      </c>
      <c r="K21" cm="1">
        <f t="array" ref="K21">1*W/(S*0.5*Linterp(J$2,atmos_h,atmos_rho)*I21*I21)</f>
        <v>0.44651709380929222</v>
      </c>
      <c r="L21">
        <f t="shared" si="2"/>
        <v>3.2361405933961571E-2</v>
      </c>
      <c r="M21">
        <f t="shared" si="0"/>
        <v>65.227660361430267</v>
      </c>
      <c r="N21">
        <f t="shared" si="3"/>
        <v>13.797827409614992</v>
      </c>
      <c r="O21">
        <f>(1/'BD-5J Details'!$H$9)*'HW#8 Calculations'!N21</f>
        <v>10.613713392011531</v>
      </c>
      <c r="P21">
        <f t="shared" si="4"/>
        <v>20.648650029144211</v>
      </c>
      <c r="Q21" s="69">
        <f>I21*0.592484*N21/'BD-5J Details'!$H$9</f>
        <v>1332.0228116599362</v>
      </c>
      <c r="S21" s="68">
        <f t="shared" si="9"/>
        <v>211.75964863341386</v>
      </c>
      <c r="T21" cm="1">
        <f t="array" ref="T21">S21/Linterp(T$2,atmos_h,atmos_aspeed)</f>
        <v>0.19654926903114905</v>
      </c>
      <c r="U21" cm="1">
        <f t="array" ref="U21">1*W/(S*0.5*Linterp(T$2,atmos_h,atmos_rho)*S21*S21)</f>
        <v>0.60499614773920407</v>
      </c>
      <c r="V21">
        <f t="shared" si="5"/>
        <v>4.2693261004315163E-2</v>
      </c>
      <c r="W21">
        <f t="shared" si="1"/>
        <v>63.511040603265243</v>
      </c>
      <c r="X21">
        <f t="shared" si="6"/>
        <v>14.170764507261577</v>
      </c>
      <c r="Y21" cm="1">
        <f t="array" ref="Y21">(1/('BD-5J Details'!$H$9*Linterp(10000,atmos_h,atmos_aspeed)/Linterp(0,atmos_h,atmos_aspeed)))*'HW#8 Calculations'!X21</f>
        <v>11.295811383892152</v>
      </c>
      <c r="Z21">
        <f t="shared" si="7"/>
        <v>18.218682871182292</v>
      </c>
      <c r="AA21" s="69" cm="1">
        <f t="array" ref="AA21">S21*0.592484*X21/('BD-5J Details'!$H$9*Linterp(10000,atmos_h,atmos_aspeed)/Linterp(0,atmos_h,atmos_aspeed))</f>
        <v>1417.2199799839789</v>
      </c>
    </row>
    <row r="22" spans="1:27" ht="16.5" thickBot="1" x14ac:dyDescent="0.3">
      <c r="A22" s="58" t="s">
        <v>117</v>
      </c>
      <c r="B22" s="56" t="s">
        <v>118</v>
      </c>
      <c r="C22" s="56" t="s">
        <v>4</v>
      </c>
      <c r="D22" s="61">
        <f>60*(1/'BD-5J Details'!$H$9)*D10*LN(W/(W-100))</f>
        <v>77.188002662984971</v>
      </c>
      <c r="E22" s="61" cm="1">
        <f t="array" ref="E22">60*(1/('BD-5J Details'!$H$9*Linterp(10000,atmos_h,atmos_aspeed)/Linterp(0,atmos_h,atmos_aspeed)))*E10*LN(W/(W-100))</f>
        <v>79.986612885546705</v>
      </c>
      <c r="I22" s="68">
        <f t="shared" si="8"/>
        <v>221.8203492385378</v>
      </c>
      <c r="J22" cm="1">
        <f t="array" ref="J22">I22/Linterp(J$2,atmos_h,atmos_aspeed)</f>
        <v>0.19868363942723613</v>
      </c>
      <c r="K22" cm="1">
        <f t="array" ref="K22">1*W/(S*0.5*Linterp(J$2,atmos_h,atmos_rho)*I22*I22)</f>
        <v>0.40716522558250101</v>
      </c>
      <c r="L22">
        <f t="shared" si="2"/>
        <v>3.0278578297266233E-2</v>
      </c>
      <c r="M22">
        <f t="shared" si="0"/>
        <v>66.927917109212927</v>
      </c>
      <c r="N22">
        <f t="shared" si="3"/>
        <v>13.447303290962733</v>
      </c>
      <c r="O22">
        <f>(1/'BD-5J Details'!$H$9)*'HW#8 Calculations'!N22</f>
        <v>10.344079454586717</v>
      </c>
      <c r="P22">
        <f t="shared" si="4"/>
        <v>21.074139975724361</v>
      </c>
      <c r="Q22" s="69">
        <f>I22*0.592484*N22/'BD-5J Details'!$H$9</f>
        <v>1359.4707229847338</v>
      </c>
      <c r="S22" s="68">
        <f t="shared" si="9"/>
        <v>221.75964863341386</v>
      </c>
      <c r="T22" cm="1">
        <f t="array" ref="T22">S22/Linterp(T$2,atmos_h,atmos_aspeed)</f>
        <v>0.20583098395179497</v>
      </c>
      <c r="U22" cm="1">
        <f t="array" ref="U22">1*W/(S*0.5*Linterp(T$2,atmos_h,atmos_rho)*S22*S22)</f>
        <v>0.55166315017982359</v>
      </c>
      <c r="V22">
        <f t="shared" si="5"/>
        <v>3.886859833851225E-2</v>
      </c>
      <c r="W22">
        <f t="shared" si="1"/>
        <v>63.411410555985398</v>
      </c>
      <c r="X22">
        <f t="shared" si="6"/>
        <v>14.19302917422721</v>
      </c>
      <c r="Y22" cm="1">
        <f t="array" ref="Y22">(1/('BD-5J Details'!$H$9*Linterp(10000,atmos_h,atmos_aspeed)/Linterp(0,atmos_h,atmos_aspeed)))*'HW#8 Calculations'!X22</f>
        <v>11.313559013417722</v>
      </c>
      <c r="Z22">
        <f t="shared" si="7"/>
        <v>19.109006490755231</v>
      </c>
      <c r="AA22" s="69" cm="1">
        <f t="array" ref="AA22">S22*0.592484*X22/('BD-5J Details'!$H$9*Linterp(10000,atmos_h,atmos_aspeed)/Linterp(0,atmos_h,atmos_aspeed))</f>
        <v>1486.4776991743313</v>
      </c>
    </row>
    <row r="23" spans="1:27" x14ac:dyDescent="0.25">
      <c r="I23" s="68">
        <f t="shared" si="8"/>
        <v>231.8203492385378</v>
      </c>
      <c r="J23" cm="1">
        <f t="array" ref="J23">I23/Linterp(J$2,atmos_h,atmos_aspeed)</f>
        <v>0.20764060122579409</v>
      </c>
      <c r="K23" cm="1">
        <f t="array" ref="K23">1*W/(S*0.5*Linterp(J$2,atmos_h,atmos_rho)*I23*I23)</f>
        <v>0.37279522191911607</v>
      </c>
      <c r="L23">
        <f t="shared" si="2"/>
        <v>2.8616529204114824E-2</v>
      </c>
      <c r="M23">
        <f t="shared" si="0"/>
        <v>69.085854027633644</v>
      </c>
      <c r="N23">
        <f t="shared" si="3"/>
        <v>13.027268934679583</v>
      </c>
      <c r="O23">
        <f>(1/'BD-5J Details'!$H$9)*'HW#8 Calculations'!N23</f>
        <v>10.020976103599677</v>
      </c>
      <c r="P23">
        <f t="shared" si="4"/>
        <v>21.33625583138636</v>
      </c>
      <c r="Q23" s="69">
        <f>I23*0.592484*N23/'BD-5J Details'!$H$9</f>
        <v>1376.3795426192744</v>
      </c>
      <c r="S23" s="68">
        <f t="shared" si="9"/>
        <v>231.75964863341386</v>
      </c>
      <c r="T23" cm="1">
        <f t="array" ref="T23">S23/Linterp(T$2,atmos_h,atmos_aspeed)</f>
        <v>0.21511269887244086</v>
      </c>
      <c r="U23" cm="1">
        <f t="array" ref="U23">1*W/(S*0.5*Linterp(T$2,atmos_h,atmos_rho)*S23*S23)</f>
        <v>0.50508372780972188</v>
      </c>
      <c r="V23">
        <f t="shared" si="5"/>
        <v>3.5816793470086247E-2</v>
      </c>
      <c r="W23">
        <f t="shared" si="1"/>
        <v>63.8213277288977</v>
      </c>
      <c r="X23">
        <f t="shared" si="6"/>
        <v>14.101868952382956</v>
      </c>
      <c r="Y23" cm="1">
        <f t="array" ref="Y23">(1/('BD-5J Details'!$H$9*Linterp(10000,atmos_h,atmos_aspeed)/Linterp(0,atmos_h,atmos_aspeed)))*'HW#8 Calculations'!X23</f>
        <v>11.240893302888217</v>
      </c>
      <c r="Z23">
        <f t="shared" si="7"/>
        <v>19.842435895633479</v>
      </c>
      <c r="AA23" s="69" cm="1">
        <f t="array" ref="AA23">S23*0.592484*X23/('BD-5J Details'!$H$9*Linterp(10000,atmos_h,atmos_aspeed)/Linterp(0,atmos_h,atmos_aspeed))</f>
        <v>1543.5307152376026</v>
      </c>
    </row>
    <row r="24" spans="1:27" x14ac:dyDescent="0.25">
      <c r="I24" s="68">
        <f t="shared" si="8"/>
        <v>241.8203492385378</v>
      </c>
      <c r="J24" cm="1">
        <f t="array" ref="J24">I24/Linterp(J$2,atmos_h,atmos_aspeed)</f>
        <v>0.21659756302435201</v>
      </c>
      <c r="K24" cm="1">
        <f t="array" ref="K24">1*W/(S*0.5*Linterp(J$2,atmos_h,atmos_rho)*I24*I24)</f>
        <v>0.34260031729055224</v>
      </c>
      <c r="L24">
        <f t="shared" si="2"/>
        <v>2.7277248599270398E-2</v>
      </c>
      <c r="M24">
        <f t="shared" si="0"/>
        <v>71.656453600197381</v>
      </c>
      <c r="N24">
        <f t="shared" si="3"/>
        <v>12.559929424103133</v>
      </c>
      <c r="O24">
        <f>(1/'BD-5J Details'!$H$9)*'HW#8 Calculations'!N24</f>
        <v>9.6614841723870253</v>
      </c>
      <c r="P24">
        <f t="shared" si="4"/>
        <v>21.458201474254153</v>
      </c>
      <c r="Q24" s="69">
        <f>I24*0.592484*N24/'BD-5J Details'!$H$9</f>
        <v>1384.2461284664444</v>
      </c>
      <c r="S24" s="68">
        <f t="shared" si="9"/>
        <v>241.75964863341386</v>
      </c>
      <c r="T24" cm="1">
        <f t="array" ref="T24">S24/Linterp(T$2,atmos_h,atmos_aspeed)</f>
        <v>0.22439441379308678</v>
      </c>
      <c r="U24" cm="1">
        <f t="array" ref="U24">1*W/(S*0.5*Linterp(T$2,atmos_h,atmos_rho)*S24*S24)</f>
        <v>0.46416393481949997</v>
      </c>
      <c r="V24">
        <f t="shared" si="5"/>
        <v>3.3357785820001505E-2</v>
      </c>
      <c r="W24">
        <f t="shared" si="1"/>
        <v>64.679749945837671</v>
      </c>
      <c r="X24">
        <f t="shared" si="6"/>
        <v>13.914710566346548</v>
      </c>
      <c r="Y24" cm="1">
        <f t="array" ref="Y24">(1/('BD-5J Details'!$H$9*Linterp(10000,atmos_h,atmos_aspeed)/Linterp(0,atmos_h,atmos_aspeed)))*'HW#8 Calculations'!X24</f>
        <v>11.091705457271447</v>
      </c>
      <c r="Z24">
        <f t="shared" si="7"/>
        <v>20.4238908417808</v>
      </c>
      <c r="AA24" s="69" cm="1">
        <f t="array" ref="AA24">S24*0.592484*X24/('BD-5J Details'!$H$9*Linterp(10000,atmos_h,atmos_aspeed)/Linterp(0,atmos_h,atmos_aspeed))</f>
        <v>1588.7617329224186</v>
      </c>
    </row>
    <row r="25" spans="1:27" x14ac:dyDescent="0.25">
      <c r="B25" t="s">
        <v>119</v>
      </c>
      <c r="C25">
        <v>0.02</v>
      </c>
      <c r="I25" s="68">
        <f t="shared" si="8"/>
        <v>251.8203492385378</v>
      </c>
      <c r="J25" cm="1">
        <f t="array" ref="J25">I25/Linterp(J$2,atmos_h,atmos_aspeed)</f>
        <v>0.22555452482290994</v>
      </c>
      <c r="K25" cm="1">
        <f t="array" ref="K25">1*W/(S*0.5*Linterp(J$2,atmos_h,atmos_rho)*I25*I25)</f>
        <v>0.31593068209390363</v>
      </c>
      <c r="L25">
        <f t="shared" si="2"/>
        <v>2.6188356145075791E-2</v>
      </c>
      <c r="M25">
        <f t="shared" si="0"/>
        <v>74.603455335062009</v>
      </c>
      <c r="N25">
        <f t="shared" si="3"/>
        <v>12.063784391190518</v>
      </c>
      <c r="O25">
        <f>(1/'BD-5J Details'!$H$9)*'HW#8 Calculations'!N25</f>
        <v>9.2798341470696286</v>
      </c>
      <c r="P25">
        <f t="shared" si="4"/>
        <v>21.462863529743558</v>
      </c>
      <c r="Q25" s="69">
        <f>I25*0.592484*N25/'BD-5J Details'!$H$9</f>
        <v>1384.5468727888262</v>
      </c>
      <c r="S25" s="68">
        <f t="shared" si="9"/>
        <v>251.75964863341386</v>
      </c>
      <c r="T25" cm="1">
        <f t="array" ref="T25">S25/Linterp(T$2,atmos_h,atmos_aspeed)</f>
        <v>0.23367612871373267</v>
      </c>
      <c r="U25" cm="1">
        <f t="array" ref="U25">1*W/(S*0.5*Linterp(T$2,atmos_h,atmos_rho)*S25*S25)</f>
        <v>0.42802267523867787</v>
      </c>
      <c r="V25">
        <f t="shared" si="5"/>
        <v>3.1358611452145434E-2</v>
      </c>
      <c r="W25">
        <f t="shared" si="1"/>
        <v>65.937512051652561</v>
      </c>
      <c r="X25">
        <f t="shared" si="6"/>
        <v>13.649286604793026</v>
      </c>
      <c r="Y25" cm="1">
        <f t="array" ref="Y25">(1/('BD-5J Details'!$H$9*Linterp(10000,atmos_h,atmos_aspeed)/Linterp(0,atmos_h,atmos_aspeed)))*'HW#8 Calculations'!X25</f>
        <v>10.880130492142525</v>
      </c>
      <c r="Z25">
        <f t="shared" si="7"/>
        <v>20.862990702810229</v>
      </c>
      <c r="AA25" s="69" cm="1">
        <f t="array" ref="AA25">S25*0.592484*X25/('BD-5J Details'!$H$9*Linterp(10000,atmos_h,atmos_aspeed)/Linterp(0,atmos_h,atmos_aspeed))</f>
        <v>1622.9190373038139</v>
      </c>
    </row>
    <row r="26" spans="1:27" x14ac:dyDescent="0.25">
      <c r="B26" t="s">
        <v>120</v>
      </c>
      <c r="C26">
        <v>6.2E-2</v>
      </c>
      <c r="I26" s="68">
        <f t="shared" si="8"/>
        <v>261.8203492385378</v>
      </c>
      <c r="J26" cm="1">
        <f t="array" ref="J26">I26/Linterp(J$2,atmos_h,atmos_aspeed)</f>
        <v>0.23451148662146787</v>
      </c>
      <c r="K26" cm="1">
        <f t="array" ref="K26">1*W/(S*0.5*Linterp(J$2,atmos_h,atmos_rho)*I26*I26)</f>
        <v>0.29225816507996299</v>
      </c>
      <c r="L26">
        <f t="shared" si="2"/>
        <v>2.529571977346623E-2</v>
      </c>
      <c r="M26">
        <f t="shared" si="0"/>
        <v>77.897388392521719</v>
      </c>
      <c r="N26">
        <f t="shared" si="3"/>
        <v>11.553660765428196</v>
      </c>
      <c r="O26">
        <f>(1/'BD-5J Details'!$H$9)*'HW#8 Calculations'!N26</f>
        <v>8.8874313580216882</v>
      </c>
      <c r="P26">
        <f t="shared" si="4"/>
        <v>21.371562994321796</v>
      </c>
      <c r="Q26" s="69">
        <f>I26*0.592484*N26/'BD-5J Details'!$H$9</f>
        <v>1378.65717076342</v>
      </c>
      <c r="S26" s="68">
        <f t="shared" si="9"/>
        <v>261.75964863341386</v>
      </c>
      <c r="T26" cm="1">
        <f t="array" ref="T26">S26/Linterp(T$2,atmos_h,atmos_aspeed)</f>
        <v>0.24295784363437856</v>
      </c>
      <c r="U26" cm="1">
        <f t="array" ref="U26">1*W/(S*0.5*Linterp(T$2,atmos_h,atmos_rho)*S26*S26)</f>
        <v>0.39594387276069853</v>
      </c>
      <c r="V26">
        <f t="shared" si="5"/>
        <v>2.9719836123357893E-2</v>
      </c>
      <c r="W26">
        <f t="shared" si="1"/>
        <v>67.55465698843642</v>
      </c>
      <c r="X26">
        <f t="shared" si="6"/>
        <v>13.322545626337149</v>
      </c>
      <c r="Y26" cm="1">
        <f t="array" ref="Y26">(1/('BD-5J Details'!$H$9*Linterp(10000,atmos_h,atmos_aspeed)/Linterp(0,atmos_h,atmos_aspeed)))*'HW#8 Calculations'!X26</f>
        <v>10.619678456394231</v>
      </c>
      <c r="Z26">
        <f t="shared" si="7"/>
        <v>21.17241524115046</v>
      </c>
      <c r="AA26" s="69" cm="1">
        <f t="array" ref="AA26">S26*0.592484*X26/('BD-5J Details'!$H$9*Linterp(10000,atmos_h,atmos_aspeed)/Linterp(0,atmos_h,atmos_aspeed))</f>
        <v>1646.9889791944397</v>
      </c>
    </row>
    <row r="27" spans="1:27" x14ac:dyDescent="0.25">
      <c r="B27" t="s">
        <v>121</v>
      </c>
      <c r="C27">
        <v>202</v>
      </c>
      <c r="D27" t="s">
        <v>63</v>
      </c>
      <c r="I27" s="68">
        <f t="shared" si="8"/>
        <v>271.8203492385378</v>
      </c>
      <c r="J27" cm="1">
        <f t="array" ref="J27">I27/Linterp(J$2,atmos_h,atmos_aspeed)</f>
        <v>0.2434684484200258</v>
      </c>
      <c r="K27" cm="1">
        <f t="array" ref="K27">1*W/(S*0.5*Linterp(J$2,atmos_h,atmos_rho)*I27*I27)</f>
        <v>0.27114994250309793</v>
      </c>
      <c r="L27">
        <f t="shared" si="2"/>
        <v>2.4558382061804867E-2</v>
      </c>
      <c r="M27">
        <f t="shared" si="0"/>
        <v>81.514101207570249</v>
      </c>
      <c r="N27">
        <f t="shared" si="3"/>
        <v>11.041034454986011</v>
      </c>
      <c r="O27">
        <f>(1/'BD-5J Details'!$H$9)*'HW#8 Calculations'!N27</f>
        <v>8.4931034269123149</v>
      </c>
      <c r="P27">
        <f t="shared" si="4"/>
        <v>21.203375611575652</v>
      </c>
      <c r="Q27" s="69">
        <f>I27*0.592484*N27/'BD-5J Details'!$H$9</f>
        <v>1367.8075786527954</v>
      </c>
      <c r="S27" s="68">
        <f t="shared" si="9"/>
        <v>271.75964863341386</v>
      </c>
      <c r="T27" cm="1">
        <f t="array" ref="T27">S27/Linterp(T$2,atmos_h,atmos_aspeed)</f>
        <v>0.25223955855502445</v>
      </c>
      <c r="U27" cm="1">
        <f t="array" ref="U27">1*W/(S*0.5*Linterp(T$2,atmos_h,atmos_rho)*S27*S27)</f>
        <v>0.36734072600871998</v>
      </c>
      <c r="V27">
        <f t="shared" si="5"/>
        <v>2.8366230957046039E-2</v>
      </c>
      <c r="W27">
        <f t="shared" si="1"/>
        <v>69.498441239361554</v>
      </c>
      <c r="X27">
        <f t="shared" si="6"/>
        <v>12.949930731543814</v>
      </c>
      <c r="Y27" cm="1">
        <f t="array" ref="Y27">(1/('BD-5J Details'!$H$9*Linterp(10000,atmos_h,atmos_aspeed)/Linterp(0,atmos_h,atmos_aspeed)))*'HW#8 Calculations'!X27</f>
        <v>10.322659366968427</v>
      </c>
      <c r="Z27">
        <f t="shared" si="7"/>
        <v>21.3664762991007</v>
      </c>
      <c r="AA27" s="69" cm="1">
        <f t="array" ref="AA27">S27*0.592484*X27/('BD-5J Details'!$H$9*Linterp(10000,atmos_h,atmos_aspeed)/Linterp(0,atmos_h,atmos_aspeed))</f>
        <v>1662.0848678823611</v>
      </c>
    </row>
    <row r="28" spans="1:27" x14ac:dyDescent="0.25">
      <c r="B28" t="s">
        <v>122</v>
      </c>
      <c r="C28">
        <v>1.3</v>
      </c>
      <c r="D28" t="s">
        <v>68</v>
      </c>
      <c r="I28" s="68">
        <f t="shared" si="8"/>
        <v>281.8203492385378</v>
      </c>
      <c r="J28" cm="1">
        <f t="array" ref="J28">I28/Linterp(J$2,atmos_h,atmos_aspeed)</f>
        <v>0.25242541021858372</v>
      </c>
      <c r="K28" cm="1">
        <f t="array" ref="K28">1*W/(S*0.5*Linterp(J$2,atmos_h,atmos_rho)*I28*I28)</f>
        <v>0.25224859237457481</v>
      </c>
      <c r="L28">
        <f t="shared" si="2"/>
        <v>2.3945019846007172E-2</v>
      </c>
      <c r="M28">
        <f t="shared" si="0"/>
        <v>85.433649633236257</v>
      </c>
      <c r="N28">
        <f t="shared" si="3"/>
        <v>10.534490845980118</v>
      </c>
      <c r="O28">
        <f>(1/'BD-5J Details'!$H$9)*'HW#8 Calculations'!N28</f>
        <v>8.1034544969077817</v>
      </c>
      <c r="P28">
        <f t="shared" si="4"/>
        <v>20.974865005265478</v>
      </c>
      <c r="Q28" s="69">
        <f>I28*0.592484*N28/'BD-5J Details'!$H$9</f>
        <v>1353.0665984975903</v>
      </c>
      <c r="S28" s="68">
        <f t="shared" si="9"/>
        <v>281.75964863341386</v>
      </c>
      <c r="T28" cm="1">
        <f t="array" ref="T28">S28/Linterp(T$2,atmos_h,atmos_aspeed)</f>
        <v>0.26152127347567039</v>
      </c>
      <c r="U28" cm="1">
        <f t="array" ref="U28">1*W/(S*0.5*Linterp(T$2,atmos_h,atmos_rho)*S28*S28)</f>
        <v>0.34172868124815975</v>
      </c>
      <c r="V28">
        <f t="shared" si="5"/>
        <v>2.7240266478431596E-2</v>
      </c>
      <c r="W28">
        <f t="shared" si="1"/>
        <v>71.741826706038182</v>
      </c>
      <c r="X28">
        <f t="shared" si="6"/>
        <v>12.544983049954192</v>
      </c>
      <c r="Y28" cm="1">
        <f t="array" ref="Y28">(1/('BD-5J Details'!$H$9*Linterp(10000,atmos_h,atmos_aspeed)/Linterp(0,atmos_h,atmos_aspeed)))*'HW#8 Calculations'!X28</f>
        <v>9.9998671401103216</v>
      </c>
      <c r="Z28">
        <f t="shared" si="7"/>
        <v>21.459982503739067</v>
      </c>
      <c r="AA28" s="69" cm="1">
        <f t="array" ref="AA28">S28*0.592484*X28/('BD-5J Details'!$H$9*Linterp(10000,atmos_h,atmos_aspeed)/Linterp(0,atmos_h,atmos_aspeed))</f>
        <v>1669.3586572338174</v>
      </c>
    </row>
    <row r="29" spans="1:27" x14ac:dyDescent="0.25">
      <c r="I29" s="68">
        <f t="shared" si="8"/>
        <v>291.8203492385378</v>
      </c>
      <c r="J29" cm="1">
        <f t="array" ref="J29">I29/Linterp(J$2,atmos_h,atmos_aspeed)</f>
        <v>0.26138237201714165</v>
      </c>
      <c r="K29" cm="1">
        <f t="array" ref="K29">1*W/(S*0.5*Linterp(J$2,atmos_h,atmos_rho)*I29*I29)</f>
        <v>0.23525686381678815</v>
      </c>
      <c r="L29">
        <f t="shared" si="2"/>
        <v>2.343143910232047E-2</v>
      </c>
      <c r="M29">
        <f t="shared" si="0"/>
        <v>89.63944707054938</v>
      </c>
      <c r="N29">
        <f t="shared" si="3"/>
        <v>10.040222574015528</v>
      </c>
      <c r="O29">
        <f>(1/'BD-5J Details'!$H$9)*'HW#8 Calculations'!N29</f>
        <v>7.7232481338580978</v>
      </c>
      <c r="P29">
        <f t="shared" si="4"/>
        <v>20.700087863371976</v>
      </c>
      <c r="Q29" s="69">
        <f>I29*0.592484*N29/'BD-5J Details'!$H$9</f>
        <v>1335.3410125339428</v>
      </c>
      <c r="S29" s="68">
        <f t="shared" si="9"/>
        <v>291.75964863341386</v>
      </c>
      <c r="T29" cm="1">
        <f t="array" ref="T29">S29/Linterp(T$2,atmos_h,atmos_aspeed)</f>
        <v>0.27080298839631628</v>
      </c>
      <c r="U29" cm="1">
        <f t="array" ref="U29">1*W/(S*0.5*Linterp(T$2,atmos_h,atmos_rho)*S29*S29)</f>
        <v>0.31870477483542969</v>
      </c>
      <c r="V29">
        <f t="shared" si="5"/>
        <v>2.6297509477179921E-2</v>
      </c>
      <c r="W29">
        <f t="shared" si="1"/>
        <v>74.262328017154132</v>
      </c>
      <c r="X29">
        <f t="shared" si="6"/>
        <v>12.119199923171083</v>
      </c>
      <c r="Y29" cm="1">
        <f t="array" ref="Y29">(1/('BD-5J Details'!$H$9*Linterp(10000,atmos_h,atmos_aspeed)/Linterp(0,atmos_h,atmos_aspeed)))*'HW#8 Calculations'!X29</f>
        <v>9.6604665461535681</v>
      </c>
      <c r="Z29">
        <f t="shared" si="7"/>
        <v>21.467410688528417</v>
      </c>
      <c r="AA29" s="69" cm="1">
        <f t="array" ref="AA29">S29*0.592484*X29/('BD-5J Details'!$H$9*Linterp(10000,atmos_h,atmos_aspeed)/Linterp(0,atmos_h,atmos_aspeed))</f>
        <v>1669.9364910966117</v>
      </c>
    </row>
    <row r="30" spans="1:27" x14ac:dyDescent="0.25">
      <c r="I30" s="68">
        <f t="shared" si="8"/>
        <v>301.8203492385378</v>
      </c>
      <c r="J30" cm="1">
        <f t="array" ref="J30">I30/Linterp(J$2,atmos_h,atmos_aspeed)</f>
        <v>0.27033933381569958</v>
      </c>
      <c r="K30" cm="1">
        <f t="array" ref="K30">1*W/(S*0.5*Linterp(J$2,atmos_h,atmos_rho)*I30*I30)</f>
        <v>0.21992591844981144</v>
      </c>
      <c r="L30">
        <f t="shared" si="2"/>
        <v>2.2998779395571572E-2</v>
      </c>
      <c r="M30">
        <f t="shared" si="0"/>
        <v>94.117608337909672</v>
      </c>
      <c r="N30">
        <f t="shared" si="3"/>
        <v>9.5625039341069673</v>
      </c>
      <c r="O30">
        <f>(1/'BD-5J Details'!$H$9)*'HW#8 Calculations'!N30</f>
        <v>7.3557722570053592</v>
      </c>
      <c r="P30">
        <f t="shared" si="4"/>
        <v>20.390760312505961</v>
      </c>
      <c r="Q30" s="69">
        <f>I30*0.592484*N30/'BD-5J Details'!$H$9</f>
        <v>1315.3866158326148</v>
      </c>
      <c r="S30" s="68">
        <f t="shared" si="9"/>
        <v>301.75964863341386</v>
      </c>
      <c r="T30" cm="1">
        <f t="array" ref="T30">S30/Linterp(T$2,atmos_h,atmos_aspeed)</f>
        <v>0.28008470331696217</v>
      </c>
      <c r="U30" cm="1">
        <f t="array" ref="U30">1*W/(S*0.5*Linterp(T$2,atmos_h,atmos_rho)*S30*S30)</f>
        <v>0.29793168576595802</v>
      </c>
      <c r="V30">
        <f t="shared" si="5"/>
        <v>2.5503323941767426E-2</v>
      </c>
      <c r="W30">
        <f t="shared" si="1"/>
        <v>77.041122660654295</v>
      </c>
      <c r="X30">
        <f t="shared" si="6"/>
        <v>11.682072754368614</v>
      </c>
      <c r="Y30" cm="1">
        <f t="array" ref="Y30">(1/('BD-5J Details'!$H$9*Linterp(10000,atmos_h,atmos_aspeed)/Linterp(0,atmos_h,atmos_aspeed)))*'HW#8 Calculations'!X30</f>
        <v>9.3120233801523806</v>
      </c>
      <c r="Z30">
        <f t="shared" si="7"/>
        <v>21.402354815438677</v>
      </c>
      <c r="AA30" s="69" cm="1">
        <f t="array" ref="AA30">S30*0.592484*X30/('BD-5J Details'!$H$9*Linterp(10000,atmos_h,atmos_aspeed)/Linterp(0,atmos_h,atmos_aspeed))</f>
        <v>1664.8758352956413</v>
      </c>
    </row>
    <row r="31" spans="1:27" x14ac:dyDescent="0.25">
      <c r="I31" s="68">
        <f t="shared" si="8"/>
        <v>311.8203492385378</v>
      </c>
      <c r="J31" cm="1">
        <f t="array" ref="J31">I31/Linterp(J$2,atmos_h,atmos_aspeed)</f>
        <v>0.27929629561425751</v>
      </c>
      <c r="K31" cm="1">
        <f t="array" ref="K31">1*W/(S*0.5*Linterp(J$2,atmos_h,atmos_rho)*I31*I31)</f>
        <v>0.2060461678437904</v>
      </c>
      <c r="L31">
        <f t="shared" si="2"/>
        <v>2.2632211443552909E-2</v>
      </c>
      <c r="M31">
        <f t="shared" si="0"/>
        <v>98.85643840093131</v>
      </c>
      <c r="N31">
        <f t="shared" si="3"/>
        <v>9.1041111186898807</v>
      </c>
      <c r="O31">
        <f>(1/'BD-5J Details'!$H$9)*'HW#8 Calculations'!N31</f>
        <v>7.0031623989922149</v>
      </c>
      <c r="P31">
        <f t="shared" si="4"/>
        <v>20.056506053591797</v>
      </c>
      <c r="Q31" s="69">
        <f>I31*0.592484*N31/'BD-5J Details'!$H$9</f>
        <v>1293.8242232723392</v>
      </c>
      <c r="S31" s="68">
        <f t="shared" si="9"/>
        <v>311.75964863341386</v>
      </c>
      <c r="T31" cm="1">
        <f t="array" ref="T31">S31/Linterp(T$2,atmos_h,atmos_aspeed)</f>
        <v>0.28936641823760806</v>
      </c>
      <c r="U31" cm="1">
        <f t="array" ref="U31">1*W/(S*0.5*Linterp(T$2,atmos_h,atmos_rho)*S31*S31)</f>
        <v>0.27912530977315453</v>
      </c>
      <c r="V31">
        <f t="shared" si="5"/>
        <v>2.4830478190469487E-2</v>
      </c>
      <c r="W31">
        <f t="shared" si="1"/>
        <v>80.062357618462912</v>
      </c>
      <c r="X31">
        <f t="shared" si="6"/>
        <v>11.241237789785671</v>
      </c>
      <c r="Y31" cm="1">
        <f t="array" ref="Y31">(1/('BD-5J Details'!$H$9*Linterp(10000,atmos_h,atmos_aspeed)/Linterp(0,atmos_h,atmos_aspeed)))*'HW#8 Calculations'!X31</f>
        <v>8.9606246529487805</v>
      </c>
      <c r="Z31">
        <f t="shared" si="7"/>
        <v>21.277202440299053</v>
      </c>
      <c r="AA31" s="69" cm="1">
        <f t="array" ref="AA31">S31*0.592484*X31/('BD-5J Details'!$H$9*Linterp(10000,atmos_h,atmos_aspeed)/Linterp(0,atmos_h,atmos_aspeed))</f>
        <v>1655.140310074393</v>
      </c>
    </row>
    <row r="32" spans="1:27" x14ac:dyDescent="0.25">
      <c r="I32" s="68">
        <f t="shared" si="8"/>
        <v>321.8203492385378</v>
      </c>
      <c r="J32" cm="1">
        <f t="array" ref="J32">I32/Linterp(J$2,atmos_h,atmos_aspeed)</f>
        <v>0.28825325741281543</v>
      </c>
      <c r="K32" cm="1">
        <f t="array" ref="K32">1*W/(S*0.5*Linterp(J$2,atmos_h,atmos_rho)*I32*I32)</f>
        <v>0.19344007207543856</v>
      </c>
      <c r="L32">
        <f t="shared" si="2"/>
        <v>2.2319981812042155E-2</v>
      </c>
      <c r="M32">
        <f t="shared" si="0"/>
        <v>103.84603053189488</v>
      </c>
      <c r="N32">
        <f t="shared" si="3"/>
        <v>8.6666769580911165</v>
      </c>
      <c r="O32">
        <f>(1/'BD-5J Details'!$H$9)*'HW#8 Calculations'!N32</f>
        <v>6.666674583147012</v>
      </c>
      <c r="P32">
        <f t="shared" si="4"/>
        <v>19.705133717330533</v>
      </c>
      <c r="Q32" s="69">
        <f>I32*0.592484*N32/'BD-5J Details'!$H$9</f>
        <v>1271.1575614505909</v>
      </c>
      <c r="S32" s="68">
        <f t="shared" si="9"/>
        <v>321.75964863341386</v>
      </c>
      <c r="T32" cm="1">
        <f t="array" ref="T32">S32/Linterp(T$2,atmos_h,atmos_aspeed)</f>
        <v>0.29864813315825395</v>
      </c>
      <c r="U32" cm="1">
        <f t="array" ref="U32">1*W/(S*0.5*Linterp(T$2,atmos_h,atmos_rho)*S32*S32)</f>
        <v>0.26204499349601562</v>
      </c>
      <c r="V32">
        <f t="shared" si="5"/>
        <v>2.4257389874212266E-2</v>
      </c>
      <c r="W32">
        <f t="shared" si="1"/>
        <v>83.312604433035986</v>
      </c>
      <c r="X32">
        <f t="shared" si="6"/>
        <v>10.802687133894501</v>
      </c>
      <c r="Y32" cm="1">
        <f t="array" ref="Y32">(1/('BD-5J Details'!$H$9*Linterp(10000,atmos_h,atmos_aspeed)/Linterp(0,atmos_h,atmos_aspeed)))*'HW#8 Calculations'!X32</f>
        <v>8.6110467957562218</v>
      </c>
      <c r="Z32">
        <f t="shared" si="7"/>
        <v>21.102983770497691</v>
      </c>
      <c r="AA32" s="69" cm="1">
        <f t="array" ref="AA32">S32*0.592484*X32/('BD-5J Details'!$H$9*Linterp(10000,atmos_h,atmos_aspeed)/Linterp(0,atmos_h,atmos_aspeed))</f>
        <v>1641.587948387519</v>
      </c>
    </row>
    <row r="33" spans="9:27" x14ac:dyDescent="0.25">
      <c r="I33" s="68">
        <f>10+I32</f>
        <v>331.8203492385378</v>
      </c>
      <c r="J33" cm="1">
        <f t="array" ref="J33">I33/Linterp(J$2,atmos_h,atmos_aspeed)</f>
        <v>0.29721021921137336</v>
      </c>
      <c r="K33" cm="1">
        <f t="array" ref="K33">1*W/(S*0.5*Linterp(J$2,atmos_h,atmos_rho)*I33*I33)</f>
        <v>0.18195643394709246</v>
      </c>
      <c r="L33">
        <f t="shared" si="2"/>
        <v>2.2052704918994043E-2</v>
      </c>
      <c r="M33">
        <f t="shared" si="0"/>
        <v>109.07794792717078</v>
      </c>
      <c r="N33">
        <f t="shared" si="3"/>
        <v>8.2509803044783396</v>
      </c>
      <c r="O33">
        <f>(1/'BD-5J Details'!$H$9)*'HW#8 Calculations'!N33</f>
        <v>6.3469079265217996</v>
      </c>
      <c r="P33">
        <f t="shared" si="4"/>
        <v>19.342911378144755</v>
      </c>
      <c r="Q33" s="69">
        <f>I33*0.592484*N33/'BD-5J Details'!$H$9</f>
        <v>1247.7909772909834</v>
      </c>
      <c r="S33" s="68">
        <f t="shared" si="9"/>
        <v>331.75964863341386</v>
      </c>
      <c r="T33" cm="1">
        <f t="array" ref="T33">S33/Linterp(T$2,atmos_h,atmos_aspeed)</f>
        <v>0.30792984807889989</v>
      </c>
      <c r="U33" cm="1">
        <f t="array" ref="U33">1*W/(S*0.5*Linterp(T$2,atmos_h,atmos_rho)*S33*S33)</f>
        <v>0.24648579727043296</v>
      </c>
      <c r="V33">
        <f t="shared" si="5"/>
        <v>2.3766825391874542E-2</v>
      </c>
      <c r="W33">
        <f t="shared" si="1"/>
        <v>86.780427471116312</v>
      </c>
      <c r="X33">
        <f t="shared" si="6"/>
        <v>10.371002151372817</v>
      </c>
      <c r="Y33" cm="1">
        <f t="array" ref="Y33">(1/('BD-5J Details'!$H$9*Linterp(10000,atmos_h,atmos_aspeed)/Linterp(0,atmos_h,atmos_aspeed)))*'HW#8 Calculations'!X33</f>
        <v>8.266941709730343</v>
      </c>
      <c r="Z33">
        <f t="shared" si="7"/>
        <v>20.889342682302551</v>
      </c>
      <c r="AA33" s="69" cm="1">
        <f t="array" ref="AA33">S33*0.592484*X33/('BD-5J Details'!$H$9*Linterp(10000,atmos_h,atmos_aspeed)/Linterp(0,atmos_h,atmos_aspeed))</f>
        <v>1624.968941356303</v>
      </c>
    </row>
    <row r="34" spans="9:27" x14ac:dyDescent="0.25">
      <c r="I34" s="68">
        <f t="shared" si="8"/>
        <v>341.8203492385378</v>
      </c>
      <c r="J34" cm="1">
        <f t="array" ref="J34">I34/Linterp(J$2,atmos_h,atmos_aspeed)</f>
        <v>0.30616718100993129</v>
      </c>
      <c r="K34" cm="1">
        <f t="array" ref="K34">1*W/(S*0.5*Linterp(J$2,atmos_h,atmos_rho)*I34*I34)</f>
        <v>0.17146584411240076</v>
      </c>
      <c r="L34">
        <f t="shared" si="2"/>
        <v>2.1822833213225045E-2</v>
      </c>
      <c r="M34">
        <f t="shared" si="0"/>
        <v>114.54496954523258</v>
      </c>
      <c r="N34">
        <f t="shared" si="3"/>
        <v>7.8571761254395351</v>
      </c>
      <c r="O34">
        <f>(1/'BD-5J Details'!$H$9)*'HW#8 Calculations'!N34</f>
        <v>6.0439816349534876</v>
      </c>
      <c r="P34">
        <f t="shared" si="4"/>
        <v>18.974820554009991</v>
      </c>
      <c r="Q34" s="69">
        <f>I34*0.592484*N34/'BD-5J Details'!$H$9</f>
        <v>1224.0458233066706</v>
      </c>
      <c r="S34" s="68">
        <f t="shared" si="9"/>
        <v>341.75964863341386</v>
      </c>
      <c r="T34" cm="1">
        <f t="array" ref="T34">S34/Linterp(T$2,atmos_h,atmos_aspeed)</f>
        <v>0.31721156299954578</v>
      </c>
      <c r="U34" cm="1">
        <f t="array" ref="U34">1*W/(S*0.5*Linterp(T$2,atmos_h,atmos_rho)*S34*S34)</f>
        <v>0.23227231885697139</v>
      </c>
      <c r="V34">
        <f t="shared" si="5"/>
        <v>2.3344926666646067E-2</v>
      </c>
      <c r="W34">
        <f t="shared" si="1"/>
        <v>90.456039287743366</v>
      </c>
      <c r="X34">
        <f t="shared" si="6"/>
        <v>9.9495844289298692</v>
      </c>
      <c r="Y34" cm="1">
        <f t="array" ref="Y34">(1/('BD-5J Details'!$H$9*Linterp(10000,atmos_h,atmos_aspeed)/Linterp(0,atmos_h,atmos_aspeed)))*'HW#8 Calculations'!X34</f>
        <v>7.9310208704484788</v>
      </c>
      <c r="Z34">
        <f t="shared" si="7"/>
        <v>20.64458769804309</v>
      </c>
      <c r="AA34" s="69" cm="1">
        <f t="array" ref="AA34">S34*0.592484*X34/('BD-5J Details'!$H$9*Linterp(10000,atmos_h,atmos_aspeed)/Linterp(0,atmos_h,atmos_aspeed))</f>
        <v>1605.9296037518352</v>
      </c>
    </row>
    <row r="35" spans="9:27" x14ac:dyDescent="0.25">
      <c r="I35" s="68">
        <f t="shared" si="8"/>
        <v>351.8203492385378</v>
      </c>
      <c r="J35" cm="1">
        <f t="array" ref="J35">I35/Linterp(J$2,atmos_h,atmos_aspeed)</f>
        <v>0.31512414280848922</v>
      </c>
      <c r="K35" cm="1">
        <f t="array" ref="K35">1*W/(S*0.5*Linterp(J$2,atmos_h,atmos_rho)*I35*I35)</f>
        <v>0.16185701924431187</v>
      </c>
      <c r="L35">
        <f t="shared" si="2"/>
        <v>2.1624257070076518E-2</v>
      </c>
      <c r="M35">
        <f t="shared" si="0"/>
        <v>120.24088577643082</v>
      </c>
      <c r="N35">
        <f t="shared" si="3"/>
        <v>7.484974800280578</v>
      </c>
      <c r="O35">
        <f>(1/'BD-5J Details'!$H$9)*'HW#8 Calculations'!N35</f>
        <v>5.7576729232927519</v>
      </c>
      <c r="P35">
        <f t="shared" si="4"/>
        <v>18.604781480610164</v>
      </c>
      <c r="Q35" s="69">
        <f>I35*0.592484*N35/'BD-5J Details'!$H$9</f>
        <v>1200.1749898004427</v>
      </c>
      <c r="S35" s="68">
        <f t="shared" si="9"/>
        <v>351.75964863341386</v>
      </c>
      <c r="T35" cm="1">
        <f t="array" ref="T35">S35/Linterp(T$2,atmos_h,atmos_aspeed)</f>
        <v>0.32649327792019167</v>
      </c>
      <c r="U35" cm="1">
        <f t="array" ref="U35">1*W/(S*0.5*Linterp(T$2,atmos_h,atmos_rho)*S35*S35)</f>
        <v>0.219253728312856</v>
      </c>
      <c r="V35">
        <f t="shared" si="5"/>
        <v>2.2980476237503437E-2</v>
      </c>
      <c r="W35">
        <f t="shared" si="1"/>
        <v>94.331023572110325</v>
      </c>
      <c r="X35">
        <f t="shared" si="6"/>
        <v>9.5408696515627724</v>
      </c>
      <c r="Y35" cm="1">
        <f t="array" ref="Y35">(1/('BD-5J Details'!$H$9*Linterp(10000,atmos_h,atmos_aspeed)/Linterp(0,atmos_h,atmos_aspeed)))*'HW#8 Calculations'!X35</f>
        <v>7.6052258131258901</v>
      </c>
      <c r="Z35">
        <f t="shared" si="7"/>
        <v>20.375790608873679</v>
      </c>
      <c r="AA35" s="69" cm="1">
        <f t="array" ref="AA35">S35*0.592484*X35/('BD-5J Details'!$H$9*Linterp(10000,atmos_h,atmos_aspeed)/Linterp(0,atmos_h,atmos_aspeed))</f>
        <v>1585.0200457982805</v>
      </c>
    </row>
    <row r="36" spans="9:27" x14ac:dyDescent="0.25">
      <c r="I36" s="68">
        <f t="shared" si="8"/>
        <v>361.8203492385378</v>
      </c>
      <c r="J36" cm="1">
        <f t="array" ref="J36">I36/Linterp(J$2,atmos_h,atmos_aspeed)</f>
        <v>0.32408110460704714</v>
      </c>
      <c r="K36" cm="1">
        <f t="array" ref="K36">1*W/(S*0.5*Linterp(J$2,atmos_h,atmos_rho)*I36*I36)</f>
        <v>0.15303383860362796</v>
      </c>
      <c r="L36">
        <f t="shared" si="2"/>
        <v>2.1452000056981196E-2</v>
      </c>
      <c r="M36">
        <f t="shared" si="0"/>
        <v>126.16033308351825</v>
      </c>
      <c r="N36">
        <f t="shared" si="3"/>
        <v>7.1337795169278699</v>
      </c>
      <c r="O36">
        <f>(1/'BD-5J Details'!$H$9)*'HW#8 Calculations'!N36</f>
        <v>5.4875227053291304</v>
      </c>
      <c r="P36">
        <f t="shared" si="4"/>
        <v>18.235847283334696</v>
      </c>
      <c r="Q36" s="69">
        <f>I36*0.592484*N36/'BD-5J Details'!$H$9</f>
        <v>1176.3754306971234</v>
      </c>
      <c r="S36" s="68">
        <f t="shared" si="9"/>
        <v>361.75964863341386</v>
      </c>
      <c r="T36" cm="1">
        <f t="array" ref="T36">S36/Linterp(T$2,atmos_h,atmos_aspeed)</f>
        <v>0.33577499284083756</v>
      </c>
      <c r="U36" cm="1">
        <f t="array" ref="U36">1*W/(S*0.5*Linterp(T$2,atmos_h,atmos_rho)*S36*S36)</f>
        <v>0.20729974999136788</v>
      </c>
      <c r="V36">
        <f t="shared" si="5"/>
        <v>2.2664337553481986E-2</v>
      </c>
      <c r="W36">
        <f t="shared" si="1"/>
        <v>98.398110943130277</v>
      </c>
      <c r="X36">
        <f t="shared" si="6"/>
        <v>9.146517055801608</v>
      </c>
      <c r="Y36" cm="1">
        <f t="array" ref="Y36">(1/('BD-5J Details'!$H$9*Linterp(10000,atmos_h,atmos_aspeed)/Linterp(0,atmos_h,atmos_aspeed)))*'HW#8 Calculations'!X36</f>
        <v>7.2908791497413041</v>
      </c>
      <c r="Z36">
        <f t="shared" si="7"/>
        <v>20.088909366370828</v>
      </c>
      <c r="AA36" s="69" cm="1">
        <f t="array" ref="AA36">S36*0.592484*X36/('BD-5J Details'!$H$9*Linterp(10000,atmos_h,atmos_aspeed)/Linterp(0,atmos_h,atmos_aspeed))</f>
        <v>1562.7037328335941</v>
      </c>
    </row>
    <row r="37" spans="9:27" x14ac:dyDescent="0.25">
      <c r="I37" s="68">
        <f t="shared" si="8"/>
        <v>371.8203492385378</v>
      </c>
      <c r="J37" cm="1">
        <f t="array" ref="J37">I37/Linterp(J$2,atmos_h,atmos_aspeed)</f>
        <v>0.33303806640560507</v>
      </c>
      <c r="K37" cm="1">
        <f t="array" ref="K37">1*W/(S*0.5*Linterp(J$2,atmos_h,atmos_rho)*I37*I37)</f>
        <v>0.14491293082363335</v>
      </c>
      <c r="L37">
        <f t="shared" si="2"/>
        <v>2.1301984966233499E-2</v>
      </c>
      <c r="M37">
        <f t="shared" ref="M37:M53" si="10">W*L37/K37</f>
        <v>132.29865934423216</v>
      </c>
      <c r="N37">
        <f t="shared" si="3"/>
        <v>6.8027900241850592</v>
      </c>
      <c r="O37">
        <f>(1/'BD-5J Details'!$H$9)*'HW#8 Calculations'!N37</f>
        <v>5.232915403219276</v>
      </c>
      <c r="P37">
        <f t="shared" si="4"/>
        <v>17.870368010263025</v>
      </c>
      <c r="Q37" s="69">
        <f>I37*0.592484*N37/'BD-5J Details'!$H$9</f>
        <v>1152.7987451397994</v>
      </c>
      <c r="S37" s="68">
        <f t="shared" si="9"/>
        <v>371.75964863341386</v>
      </c>
      <c r="T37" cm="1">
        <f t="array" ref="T37">S37/Linterp(T$2,atmos_h,atmos_aspeed)</f>
        <v>0.34505670776148345</v>
      </c>
      <c r="U37" cm="1">
        <f t="array" ref="U37">1*W/(S*0.5*Linterp(T$2,atmos_h,atmos_rho)*S37*S37)</f>
        <v>0.19629739067772142</v>
      </c>
      <c r="V37">
        <f t="shared" si="5"/>
        <v>2.2389025266386683E-2</v>
      </c>
      <c r="W37">
        <f t="shared" ref="W37:W53" si="11">W*V37/U37</f>
        <v>102.65099637941816</v>
      </c>
      <c r="X37">
        <f t="shared" si="6"/>
        <v>8.7675719841376303</v>
      </c>
      <c r="Y37" cm="1">
        <f t="array" ref="Y37">(1/('BD-5J Details'!$H$9*Linterp(10000,atmos_h,atmos_aspeed)/Linterp(0,atmos_h,atmos_aspeed)))*'HW#8 Calculations'!X37</f>
        <v>6.9888141445555707</v>
      </c>
      <c r="Z37">
        <f t="shared" si="7"/>
        <v>19.788919275395713</v>
      </c>
      <c r="AA37" s="69" cm="1">
        <f t="array" ref="AA37">S37*0.592484*X37/('BD-5J Details'!$H$9*Linterp(10000,atmos_h,atmos_aspeed)/Linterp(0,atmos_h,atmos_aspeed))</f>
        <v>1539.3676907204936</v>
      </c>
    </row>
    <row r="38" spans="9:27" x14ac:dyDescent="0.25">
      <c r="I38" s="68">
        <f t="shared" si="8"/>
        <v>381.8203492385378</v>
      </c>
      <c r="J38" cm="1">
        <f t="array" ref="J38">I38/Linterp(J$2,atmos_h,atmos_aspeed)</f>
        <v>0.341995028204163</v>
      </c>
      <c r="K38" cm="1">
        <f t="array" ref="K38">1*W/(S*0.5*Linterp(J$2,atmos_h,atmos_rho)*I38*I38)</f>
        <v>0.13742169718200903</v>
      </c>
      <c r="L38">
        <f t="shared" si="2"/>
        <v>2.1170852817095794E-2</v>
      </c>
      <c r="M38">
        <f t="shared" si="10"/>
        <v>138.65181354986711</v>
      </c>
      <c r="N38">
        <f t="shared" si="3"/>
        <v>6.4910798997685566</v>
      </c>
      <c r="O38">
        <f>(1/'BD-5J Details'!$H$9)*'HW#8 Calculations'!N38</f>
        <v>4.9931383844373505</v>
      </c>
      <c r="P38">
        <f t="shared" si="4"/>
        <v>17.51012720286451</v>
      </c>
      <c r="Q38" s="69">
        <f>I38*0.592484*N38/'BD-5J Details'!$H$9</f>
        <v>1129.5599875227961</v>
      </c>
      <c r="S38" s="68">
        <f t="shared" si="9"/>
        <v>381.75964863341386</v>
      </c>
      <c r="T38" cm="1">
        <f t="array" ref="T38">S38/Linterp(T$2,atmos_h,atmos_aspeed)</f>
        <v>0.35433842268212939</v>
      </c>
      <c r="U38" cm="1">
        <f t="array" ref="U38">1*W/(S*0.5*Linterp(T$2,atmos_h,atmos_rho)*S38*S38)</f>
        <v>0.18614825961202111</v>
      </c>
      <c r="V38">
        <f t="shared" si="5"/>
        <v>2.2148372822508235E-2</v>
      </c>
      <c r="W38">
        <f t="shared" si="11"/>
        <v>107.08418967657185</v>
      </c>
      <c r="X38">
        <f t="shared" si="6"/>
        <v>8.404602049268755</v>
      </c>
      <c r="Y38" cm="1">
        <f t="array" ref="Y38">(1/('BD-5J Details'!$H$9*Linterp(10000,atmos_h,atmos_aspeed)/Linterp(0,atmos_h,atmos_aspeed)))*'HW#8 Calculations'!X38</f>
        <v>6.6994832534662834</v>
      </c>
      <c r="Z38">
        <f t="shared" si="7"/>
        <v>19.479942235396315</v>
      </c>
      <c r="AA38" s="69" cm="1">
        <f t="array" ref="AA38">S38*0.592484*X38/('BD-5J Details'!$H$9*Linterp(10000,atmos_h,atmos_aspeed)/Linterp(0,atmos_h,atmos_aspeed))</f>
        <v>1515.3325594467558</v>
      </c>
    </row>
    <row r="39" spans="9:27" x14ac:dyDescent="0.25">
      <c r="I39" s="68">
        <f t="shared" si="8"/>
        <v>391.8203492385378</v>
      </c>
      <c r="J39" cm="1">
        <f t="array" ref="J39">I39/Linterp(J$2,atmos_h,atmos_aspeed)</f>
        <v>0.35095199000272093</v>
      </c>
      <c r="K39" cm="1">
        <f t="array" ref="K39">1*W/(S*0.5*Linterp(J$2,atmos_h,atmos_rho)*I39*I39)</f>
        <v>0.13049668340980991</v>
      </c>
      <c r="L39">
        <f t="shared" si="2"/>
        <v>2.1055821831619529E-2</v>
      </c>
      <c r="M39">
        <f t="shared" si="10"/>
        <v>145.21625495221602</v>
      </c>
      <c r="N39">
        <f t="shared" si="3"/>
        <v>6.1976532881676949</v>
      </c>
      <c r="O39">
        <f>(1/'BD-5J Details'!$H$9)*'HW#8 Calculations'!N39</f>
        <v>4.767425606282842</v>
      </c>
      <c r="P39">
        <f t="shared" si="4"/>
        <v>17.156454388704656</v>
      </c>
      <c r="Q39" s="69">
        <f>I39*0.592484*N39/'BD-5J Details'!$H$9</f>
        <v>1106.7449242784696</v>
      </c>
      <c r="S39" s="68">
        <f t="shared" si="9"/>
        <v>391.75964863341386</v>
      </c>
      <c r="T39" cm="1">
        <f t="array" ref="T39">S39/Linterp(T$2,atmos_h,atmos_aspeed)</f>
        <v>0.36362013760277528</v>
      </c>
      <c r="U39" cm="1">
        <f t="array" ref="U39">1*W/(S*0.5*Linterp(T$2,atmos_h,atmos_rho)*S39*S39)</f>
        <v>0.17676636111849112</v>
      </c>
      <c r="V39">
        <f t="shared" si="5"/>
        <v>2.1937273478230514E-2</v>
      </c>
      <c r="W39">
        <f t="shared" si="11"/>
        <v>111.69289227588301</v>
      </c>
      <c r="X39">
        <f t="shared" si="6"/>
        <v>8.0578090661041113</v>
      </c>
      <c r="Y39" cm="1">
        <f t="array" ref="Y39">(1/('BD-5J Details'!$H$9*Linterp(10000,atmos_h,atmos_aspeed)/Linterp(0,atmos_h,atmos_aspeed)))*'HW#8 Calculations'!X39</f>
        <v>6.4230473473387244</v>
      </c>
      <c r="Z39">
        <f t="shared" si="7"/>
        <v>19.165367947219426</v>
      </c>
      <c r="AA39" s="69" cm="1">
        <f t="array" ref="AA39">S39*0.592484*X39/('BD-5J Details'!$H$9*Linterp(10000,atmos_h,atmos_aspeed)/Linterp(0,atmos_h,atmos_aspeed))</f>
        <v>1490.8620217275497</v>
      </c>
    </row>
    <row r="40" spans="9:27" x14ac:dyDescent="0.25">
      <c r="I40" s="68">
        <f t="shared" si="8"/>
        <v>401.8203492385378</v>
      </c>
      <c r="J40" cm="1">
        <f t="array" ref="J40">I40/Linterp(J$2,atmos_h,atmos_aspeed)</f>
        <v>0.35990895180127885</v>
      </c>
      <c r="K40" cm="1">
        <f t="array" ref="K40">1*W/(S*0.5*Linterp(J$2,atmos_h,atmos_rho)*I40*I40)</f>
        <v>0.12408223153327028</v>
      </c>
      <c r="L40">
        <f t="shared" si="2"/>
        <v>2.0954576811301119E-2</v>
      </c>
      <c r="M40">
        <f t="shared" si="10"/>
        <v>151.98887783634271</v>
      </c>
      <c r="N40">
        <f t="shared" si="3"/>
        <v>5.9214859193124276</v>
      </c>
      <c r="O40">
        <f>(1/'BD-5J Details'!$H$9)*'HW#8 Calculations'!N40</f>
        <v>4.5549891687018667</v>
      </c>
      <c r="P40">
        <f t="shared" si="4"/>
        <v>16.810317000678868</v>
      </c>
      <c r="Q40" s="69">
        <f>I40*0.592484*N40/'BD-5J Details'!$H$9</f>
        <v>1084.4159634908165</v>
      </c>
      <c r="S40" s="68">
        <f t="shared" si="9"/>
        <v>401.75964863341386</v>
      </c>
      <c r="T40" cm="1">
        <f t="array" ref="T40">S40/Linterp(T$2,atmos_h,atmos_aspeed)</f>
        <v>0.37290185252342117</v>
      </c>
      <c r="U40" cm="1">
        <f t="array" ref="U40">1*W/(S*0.5*Linterp(T$2,atmos_h,atmos_rho)*S40*S40)</f>
        <v>0.16807626693734912</v>
      </c>
      <c r="V40">
        <f t="shared" si="5"/>
        <v>2.1751477153470894E-2</v>
      </c>
      <c r="W40">
        <f t="shared" si="11"/>
        <v>116.47289528045583</v>
      </c>
      <c r="X40">
        <f t="shared" si="6"/>
        <v>7.7271196687682933</v>
      </c>
      <c r="Y40" cm="1">
        <f t="array" ref="Y40">(1/('BD-5J Details'!$H$9*Linterp(10000,atmos_h,atmos_aspeed)/Linterp(0,atmos_h,atmos_aspeed)))*'HW#8 Calculations'!X40</f>
        <v>6.1594479447063382</v>
      </c>
      <c r="Z40">
        <f t="shared" si="7"/>
        <v>18.847963902700432</v>
      </c>
      <c r="AA40" s="69" cm="1">
        <f t="array" ref="AA40">S40*0.592484*X40/('BD-5J Details'!$H$9*Linterp(10000,atmos_h,atmos_aspeed)/Linterp(0,atmos_h,atmos_aspeed))</f>
        <v>1466.1713590270328</v>
      </c>
    </row>
    <row r="41" spans="9:27" x14ac:dyDescent="0.25">
      <c r="I41" s="68">
        <f t="shared" si="8"/>
        <v>411.8203492385378</v>
      </c>
      <c r="J41" cm="1">
        <f t="array" ref="J41">I41/Linterp(J$2,atmos_h,atmos_aspeed)</f>
        <v>0.36886591359983678</v>
      </c>
      <c r="K41" cm="1">
        <f t="array" ref="K41">1*W/(S*0.5*Linterp(J$2,atmos_h,atmos_rho)*I41*I41)</f>
        <v>0.118129358027682</v>
      </c>
      <c r="L41">
        <f t="shared" si="2"/>
        <v>2.0865181804138003E-2</v>
      </c>
      <c r="M41">
        <f t="shared" si="10"/>
        <v>158.9669489215685</v>
      </c>
      <c r="N41">
        <f t="shared" si="3"/>
        <v>5.6615542168079491</v>
      </c>
      <c r="O41">
        <f>(1/'BD-5J Details'!$H$9)*'HW#8 Calculations'!N41</f>
        <v>4.3550417052368839</v>
      </c>
      <c r="P41">
        <f t="shared" si="4"/>
        <v>16.472395030482122</v>
      </c>
      <c r="Q41" s="69">
        <f>I41*0.592484*N41/'BD-5J Details'!$H$9</f>
        <v>1062.6169707127015</v>
      </c>
      <c r="S41" s="68">
        <f t="shared" si="9"/>
        <v>411.75964863341386</v>
      </c>
      <c r="T41" cm="1">
        <f t="array" ref="T41">S41/Linterp(T$2,atmos_h,atmos_aspeed)</f>
        <v>0.38218356744406706</v>
      </c>
      <c r="U41" cm="1">
        <f t="array" ref="U41">1*W/(S*0.5*Linterp(T$2,atmos_h,atmos_rho)*S41*S41)</f>
        <v>0.16001159540757975</v>
      </c>
      <c r="V41">
        <f t="shared" si="5"/>
        <v>2.1587430061222497E-2</v>
      </c>
      <c r="W41">
        <f t="shared" si="11"/>
        <v>121.42049459360562</v>
      </c>
      <c r="X41">
        <f t="shared" si="6"/>
        <v>7.4122577330318071</v>
      </c>
      <c r="Y41" cm="1">
        <f t="array" ref="Y41">(1/('BD-5J Details'!$H$9*Linterp(10000,atmos_h,atmos_aspeed)/Linterp(0,atmos_h,atmos_aspeed)))*'HW#8 Calculations'!X41</f>
        <v>5.9084649411976722</v>
      </c>
      <c r="Z41">
        <f t="shared" si="7"/>
        <v>18.529972899156064</v>
      </c>
      <c r="AA41" s="69" cm="1">
        <f t="array" ref="AA41">S41*0.592484*X41/('BD-5J Details'!$H$9*Linterp(10000,atmos_h,atmos_aspeed)/Linterp(0,atmos_h,atmos_aspeed))</f>
        <v>1441.4350371499402</v>
      </c>
    </row>
    <row r="42" spans="9:27" x14ac:dyDescent="0.25">
      <c r="I42" s="68">
        <f t="shared" si="8"/>
        <v>421.8203492385378</v>
      </c>
      <c r="J42" cm="1">
        <f t="array" ref="J42">I42/Linterp(J$2,atmos_h,atmos_aspeed)</f>
        <v>0.37782287539839471</v>
      </c>
      <c r="K42" cm="1">
        <f t="array" ref="K42">1*W/(S*0.5*Linterp(J$2,atmos_h,atmos_rho)*I42*I42)</f>
        <v>0.11259481588442372</v>
      </c>
      <c r="L42">
        <f t="shared" si="2"/>
        <v>2.078601073897093E-2</v>
      </c>
      <c r="M42">
        <f t="shared" si="10"/>
        <v>166.14805502481227</v>
      </c>
      <c r="N42">
        <f t="shared" si="3"/>
        <v>5.4168554658409667</v>
      </c>
      <c r="O42">
        <f>(1/'BD-5J Details'!$H$9)*'HW#8 Calculations'!N42</f>
        <v>4.166811896800743</v>
      </c>
      <c r="P42">
        <f t="shared" si="4"/>
        <v>16.143141377406899</v>
      </c>
      <c r="Q42" s="69">
        <f>I42*0.592484*N42/'BD-5J Details'!$H$9</f>
        <v>1041.3771620036796</v>
      </c>
      <c r="S42" s="68">
        <f t="shared" si="9"/>
        <v>421.75964863341386</v>
      </c>
      <c r="T42" cm="1">
        <f t="array" ref="T42">S42/Linterp(T$2,atmos_h,atmos_aspeed)</f>
        <v>0.39146528236471295</v>
      </c>
      <c r="U42" cm="1">
        <f t="array" ref="U42">1*W/(S*0.5*Linterp(T$2,atmos_h,atmos_rho)*S42*S42)</f>
        <v>0.15251374000479437</v>
      </c>
      <c r="V42">
        <f t="shared" si="5"/>
        <v>2.1442147335195502E-2</v>
      </c>
      <c r="W42">
        <f t="shared" si="11"/>
        <v>126.53241997127151</v>
      </c>
      <c r="X42">
        <f t="shared" si="6"/>
        <v>7.1128016061365154</v>
      </c>
      <c r="Y42" cm="1">
        <f t="array" ref="Y42">(1/('BD-5J Details'!$H$9*Linterp(10000,atmos_h,atmos_aspeed)/Linterp(0,atmos_h,atmos_aspeed)))*'HW#8 Calculations'!X42</f>
        <v>5.6697622286215976</v>
      </c>
      <c r="Z42">
        <f t="shared" si="7"/>
        <v>18.213198033179744</v>
      </c>
      <c r="AA42" s="69" cm="1">
        <f t="array" ref="AA42">S42*0.592484*X42/('BD-5J Details'!$H$9*Linterp(10000,atmos_h,atmos_aspeed)/Linterp(0,atmos_h,atmos_aspeed))</f>
        <v>1416.7933178559235</v>
      </c>
    </row>
    <row r="43" spans="9:27" x14ac:dyDescent="0.25">
      <c r="I43" s="68">
        <f t="shared" si="8"/>
        <v>431.8203492385378</v>
      </c>
      <c r="J43" cm="1">
        <f t="array" ref="J43">I43/Linterp(J$2,atmos_h,atmos_aspeed)</f>
        <v>0.38677983719695264</v>
      </c>
      <c r="K43" cm="1">
        <f t="array" ref="K43">1*W/(S*0.5*Linterp(J$2,atmos_h,atmos_rho)*I43*I43)</f>
        <v>0.1074403069235861</v>
      </c>
      <c r="L43">
        <f t="shared" si="2"/>
        <v>2.0715692012213731E-2</v>
      </c>
      <c r="M43">
        <f t="shared" si="10"/>
        <v>173.53005910763514</v>
      </c>
      <c r="N43">
        <f t="shared" si="3"/>
        <v>5.1864213302766107</v>
      </c>
      <c r="O43">
        <f>(1/'BD-5J Details'!$H$9)*'HW#8 Calculations'!N43</f>
        <v>3.9895548694435465</v>
      </c>
      <c r="P43">
        <f t="shared" si="4"/>
        <v>15.822830455925837</v>
      </c>
      <c r="Q43" s="69">
        <f>I43*0.592484*N43/'BD-5J Details'!$H$9</f>
        <v>1020.7142395542998</v>
      </c>
      <c r="S43" s="68">
        <f t="shared" si="9"/>
        <v>431.75964863341386</v>
      </c>
      <c r="T43" cm="1">
        <f t="array" ref="T43">S43/Linterp(T$2,atmos_h,atmos_aspeed)</f>
        <v>0.4007469972853589</v>
      </c>
      <c r="U43" cm="1">
        <f t="array" ref="U43">1*W/(S*0.5*Linterp(T$2,atmos_h,atmos_rho)*S43*S43)</f>
        <v>0.14553080158033829</v>
      </c>
      <c r="V43">
        <f t="shared" si="5"/>
        <v>2.1313111280934181E-2</v>
      </c>
      <c r="W43">
        <f t="shared" si="11"/>
        <v>131.80577544095854</v>
      </c>
      <c r="X43">
        <f t="shared" si="6"/>
        <v>6.828228861664325</v>
      </c>
      <c r="Y43" cm="1">
        <f t="array" ref="Y43">(1/('BD-5J Details'!$H$9*Linterp(10000,atmos_h,atmos_aspeed)/Linterp(0,atmos_h,atmos_aspeed)))*'HW#8 Calculations'!X43</f>
        <v>5.4429233700048174</v>
      </c>
      <c r="Z43">
        <f t="shared" si="7"/>
        <v>17.899075840903659</v>
      </c>
      <c r="AA43" s="69" cm="1">
        <f t="array" ref="AA43">S43*0.592484*X43/('BD-5J Details'!$H$9*Linterp(10000,atmos_h,atmos_aspeed)/Linterp(0,atmos_h,atmos_aspeed))</f>
        <v>1392.3579483949286</v>
      </c>
    </row>
    <row r="44" spans="9:27" x14ac:dyDescent="0.25">
      <c r="I44" s="68">
        <f t="shared" si="8"/>
        <v>441.8203492385378</v>
      </c>
      <c r="J44" cm="1">
        <f t="array" ref="J44">I44/Linterp(J$2,atmos_h,atmos_aspeed)</f>
        <v>0.39573679899551056</v>
      </c>
      <c r="K44" cm="1">
        <f t="array" ref="K44">1*W/(S*0.5*Linterp(J$2,atmos_h,atmos_rho)*I44*I44)</f>
        <v>0.10263181746291203</v>
      </c>
      <c r="L44">
        <f t="shared" si="2"/>
        <v>2.0653063977255911E-2</v>
      </c>
      <c r="M44">
        <f t="shared" si="10"/>
        <v>181.11106320656711</v>
      </c>
      <c r="N44">
        <f t="shared" si="3"/>
        <v>4.9693264677790587</v>
      </c>
      <c r="O44">
        <f>(1/'BD-5J Details'!$H$9)*'HW#8 Calculations'!N44</f>
        <v>3.8225588213685064</v>
      </c>
      <c r="P44">
        <f t="shared" si="4"/>
        <v>15.511597231820613</v>
      </c>
      <c r="Q44" s="69">
        <f>I44*0.592484*N44/'BD-5J Details'!$H$9</f>
        <v>1000.6369098659432</v>
      </c>
      <c r="S44" s="68">
        <f t="shared" si="9"/>
        <v>441.75964863341386</v>
      </c>
      <c r="T44" cm="1">
        <f t="array" ref="T44">S44/Linterp(T$2,atmos_h,atmos_aspeed)</f>
        <v>0.41002871220600479</v>
      </c>
      <c r="U44" cm="1">
        <f t="array" ref="U44">1*W/(S*0.5*Linterp(T$2,atmos_h,atmos_rho)*S44*S44)</f>
        <v>0.13901668784051807</v>
      </c>
      <c r="V44">
        <f t="shared" si="5"/>
        <v>2.1198189648885181E-2</v>
      </c>
      <c r="W44">
        <f t="shared" si="11"/>
        <v>137.23798905267864</v>
      </c>
      <c r="X44">
        <f t="shared" si="6"/>
        <v>6.5579509450152029</v>
      </c>
      <c r="Y44" cm="1">
        <f t="array" ref="Y44">(1/('BD-5J Details'!$H$9*Linterp(10000,atmos_h,atmos_aspeed)/Linterp(0,atmos_h,atmos_aspeed)))*'HW#8 Calculations'!X44</f>
        <v>5.227479216223605</v>
      </c>
      <c r="Z44">
        <f t="shared" si="7"/>
        <v>17.588738627559465</v>
      </c>
      <c r="AA44" s="69" cm="1">
        <f t="array" ref="AA44">S44*0.592484*X44/('BD-5J Details'!$H$9*Linterp(10000,atmos_h,atmos_aspeed)/Linterp(0,atmos_h,atmos_aspeed))</f>
        <v>1368.2170100848587</v>
      </c>
    </row>
    <row r="45" spans="9:27" x14ac:dyDescent="0.25">
      <c r="I45" s="68">
        <f t="shared" si="8"/>
        <v>451.8203492385378</v>
      </c>
      <c r="J45" cm="1">
        <f t="array" ref="J45">I45/Linterp(J$2,atmos_h,atmos_aspeed)</f>
        <v>0.40469376079406849</v>
      </c>
      <c r="K45" cm="1">
        <f t="array" ref="K45">1*W/(S*0.5*Linterp(J$2,atmos_h,atmos_rho)*I45*I45)</f>
        <v>9.8139055748980603E-2</v>
      </c>
      <c r="L45">
        <f t="shared" si="2"/>
        <v>2.0597139004324694E-2</v>
      </c>
      <c r="M45">
        <f t="shared" si="10"/>
        <v>188.88937704176737</v>
      </c>
      <c r="N45">
        <f t="shared" si="3"/>
        <v>4.7646935687706318</v>
      </c>
      <c r="O45">
        <f>(1/'BD-5J Details'!$H$9)*'HW#8 Calculations'!N45</f>
        <v>3.6651488990543317</v>
      </c>
      <c r="P45">
        <f t="shared" si="4"/>
        <v>15.209468494736948</v>
      </c>
      <c r="Q45" s="69">
        <f>I45*0.592484*N45/'BD-5J Details'!$H$9</f>
        <v>981.14690111062828</v>
      </c>
      <c r="S45" s="68">
        <f t="shared" si="9"/>
        <v>451.75964863341386</v>
      </c>
      <c r="T45" cm="1">
        <f t="array" ref="T45">S45/Linterp(T$2,atmos_h,atmos_aspeed)</f>
        <v>0.41931042712665068</v>
      </c>
      <c r="U45" cm="1">
        <f t="array" ref="U45">1*W/(S*0.5*Linterp(T$2,atmos_h,atmos_rho)*S45*S45)</f>
        <v>0.13293035078593576</v>
      </c>
      <c r="V45">
        <f t="shared" si="5"/>
        <v>2.1095569645924461E-2</v>
      </c>
      <c r="W45">
        <f t="shared" si="11"/>
        <v>142.82677032806538</v>
      </c>
      <c r="X45">
        <f t="shared" si="6"/>
        <v>6.3013397133656976</v>
      </c>
      <c r="Y45" cm="1">
        <f t="array" ref="Y45">(1/('BD-5J Details'!$H$9*Linterp(10000,atmos_h,atmos_aspeed)/Linterp(0,atmos_h,atmos_aspeed)))*'HW#8 Calculations'!X45</f>
        <v>5.0229290615572344</v>
      </c>
      <c r="Z45">
        <f t="shared" si="7"/>
        <v>17.283067186088811</v>
      </c>
      <c r="AA45" s="69" cm="1">
        <f t="array" ref="AA45">S45*0.592484*X45/('BD-5J Details'!$H$9*Linterp(10000,atmos_h,atmos_aspeed)/Linterp(0,atmos_h,atmos_aspeed))</f>
        <v>1344.439019259411</v>
      </c>
    </row>
    <row r="46" spans="9:27" x14ac:dyDescent="0.25">
      <c r="I46" s="68">
        <f t="shared" si="8"/>
        <v>461.8203492385378</v>
      </c>
      <c r="J46" cm="1">
        <f t="array" ref="J46">I46/Linterp(J$2,atmos_h,atmos_aspeed)</f>
        <v>0.41365072259262642</v>
      </c>
      <c r="K46" cm="1">
        <f t="array" ref="K46">1*W/(S*0.5*Linterp(J$2,atmos_h,atmos_rho)*I46*I46)</f>
        <v>9.3934973717999179E-2</v>
      </c>
      <c r="L46">
        <f t="shared" si="2"/>
        <v>2.0547074315818873E-2</v>
      </c>
      <c r="M46">
        <f t="shared" si="10"/>
        <v>196.86349133127618</v>
      </c>
      <c r="N46">
        <f t="shared" si="3"/>
        <v>4.5716958178167539</v>
      </c>
      <c r="O46">
        <f>(1/'BD-5J Details'!$H$9)*'HW#8 Calculations'!N46</f>
        <v>3.516689090628272</v>
      </c>
      <c r="P46">
        <f t="shared" si="4"/>
        <v>14.91638785673053</v>
      </c>
      <c r="Q46" s="69">
        <f>I46*0.592484*N46/'BD-5J Details'!$H$9</f>
        <v>962.24057576105906</v>
      </c>
      <c r="S46" s="68">
        <f t="shared" si="9"/>
        <v>461.75964863341386</v>
      </c>
      <c r="T46" cm="1">
        <f t="array" ref="T46">S46/Linterp(T$2,atmos_h,atmos_aspeed)</f>
        <v>0.42859214204729656</v>
      </c>
      <c r="U46" cm="1">
        <f t="array" ref="U46">1*W/(S*0.5*Linterp(T$2,atmos_h,atmos_rho)*S46*S46)</f>
        <v>0.12723513847425713</v>
      </c>
      <c r="V46">
        <f t="shared" si="5"/>
        <v>2.1003704388678931E-2</v>
      </c>
      <c r="W46">
        <f t="shared" si="11"/>
        <v>148.57007408873656</v>
      </c>
      <c r="X46">
        <f t="shared" si="6"/>
        <v>6.0577475344224192</v>
      </c>
      <c r="Y46" cm="1">
        <f t="array" ref="Y46">(1/('BD-5J Details'!$H$9*Linterp(10000,atmos_h,atmos_aspeed)/Linterp(0,atmos_h,atmos_aspeed)))*'HW#8 Calculations'!X46</f>
        <v>4.8287566648227767</v>
      </c>
      <c r="Z46">
        <f t="shared" si="7"/>
        <v>16.982735125901865</v>
      </c>
      <c r="AA46" s="69" cm="1">
        <f t="array" ref="AA46">S46*0.592484*X46/('BD-5J Details'!$H$9*Linterp(10000,atmos_h,atmos_aspeed)/Linterp(0,atmos_h,atmos_aspeed))</f>
        <v>1321.0763755745622</v>
      </c>
    </row>
    <row r="47" spans="9:27" x14ac:dyDescent="0.25">
      <c r="I47" s="68">
        <f t="shared" si="8"/>
        <v>471.8203492385378</v>
      </c>
      <c r="J47" cm="1">
        <f t="array" ref="J47">I47/Linterp(J$2,atmos_h,atmos_aspeed)</f>
        <v>0.42260768439118435</v>
      </c>
      <c r="K47" cm="1">
        <f t="array" ref="K47">1*W/(S*0.5*Linterp(J$2,atmos_h,atmos_rho)*I47*I47)</f>
        <v>8.9995358942646903E-2</v>
      </c>
      <c r="L47">
        <f t="shared" si="2"/>
        <v>2.0502148207135383E-2</v>
      </c>
      <c r="M47">
        <f t="shared" si="10"/>
        <v>205.03205502164917</v>
      </c>
      <c r="N47">
        <f t="shared" si="3"/>
        <v>4.3895575250658725</v>
      </c>
      <c r="O47">
        <f>(1/'BD-5J Details'!$H$9)*'HW#8 Calculations'!N47</f>
        <v>3.3765827115891325</v>
      </c>
      <c r="P47">
        <f t="shared" si="4"/>
        <v>14.632235694222658</v>
      </c>
      <c r="Q47" s="69">
        <f>I47*0.592484*N47/'BD-5J Details'!$H$9</f>
        <v>943.91021702531782</v>
      </c>
      <c r="S47" s="68">
        <f t="shared" si="9"/>
        <v>471.75964863341386</v>
      </c>
      <c r="T47" cm="1">
        <f t="array" ref="T47">S47/Linterp(T$2,atmos_h,atmos_aspeed)</f>
        <v>0.43787385696794245</v>
      </c>
      <c r="U47" cm="1">
        <f t="array" ref="U47">1*W/(S*0.5*Linterp(T$2,atmos_h,atmos_rho)*S47*S47)</f>
        <v>0.12189824192992735</v>
      </c>
      <c r="V47">
        <f t="shared" si="5"/>
        <v>2.0921269245907641E-2</v>
      </c>
      <c r="W47">
        <f t="shared" si="11"/>
        <v>154.46606959385619</v>
      </c>
      <c r="X47">
        <f t="shared" si="6"/>
        <v>5.8265223059433442</v>
      </c>
      <c r="Y47" cm="1">
        <f t="array" ref="Y47">(1/('BD-5J Details'!$H$9*Linterp(10000,atmos_h,atmos_aspeed)/Linterp(0,atmos_h,atmos_aspeed)))*'HW#8 Calculations'!X47</f>
        <v>4.644442221748192</v>
      </c>
      <c r="Z47">
        <f t="shared" si="7"/>
        <v>16.688245975281529</v>
      </c>
      <c r="AA47" s="69" cm="1">
        <f t="array" ref="AA47">S47*0.592484*X47/('BD-5J Details'!$H$9*Linterp(10000,atmos_h,atmos_aspeed)/Linterp(0,atmos_h,atmos_aspeed))</f>
        <v>1298.1682481814555</v>
      </c>
    </row>
    <row r="48" spans="9:27" x14ac:dyDescent="0.25">
      <c r="I48" s="68">
        <f t="shared" si="8"/>
        <v>481.8203492385378</v>
      </c>
      <c r="J48" cm="1">
        <f t="array" ref="J48">I48/Linterp(J$2,atmos_h,atmos_aspeed)</f>
        <v>0.43156464618974227</v>
      </c>
      <c r="K48" cm="1">
        <f t="array" ref="K48">1*W/(S*0.5*Linterp(J$2,atmos_h,atmos_rho)*I48*I48)</f>
        <v>8.6298485235163119E-2</v>
      </c>
      <c r="L48">
        <f t="shared" si="2"/>
        <v>2.0461740570340788E-2</v>
      </c>
      <c r="M48">
        <f t="shared" si="10"/>
        <v>213.39385579160913</v>
      </c>
      <c r="N48">
        <f t="shared" si="3"/>
        <v>4.2175534841963751</v>
      </c>
      <c r="O48">
        <f>(1/'BD-5J Details'!$H$9)*'HW#8 Calculations'!N48</f>
        <v>3.2442719109202884</v>
      </c>
      <c r="P48">
        <f t="shared" si="4"/>
        <v>14.356845022565262</v>
      </c>
      <c r="Q48" s="69">
        <f>I48*0.592484*N48/'BD-5J Details'!$H$9</f>
        <v>926.14505289844988</v>
      </c>
      <c r="S48" s="68">
        <f t="shared" si="9"/>
        <v>481.75964863341386</v>
      </c>
      <c r="T48" cm="1">
        <f t="array" ref="T48">S48/Linterp(T$2,atmos_h,atmos_aspeed)</f>
        <v>0.4471555718885884</v>
      </c>
      <c r="U48" cm="1">
        <f t="array" ref="U48">1*W/(S*0.5*Linterp(T$2,atmos_h,atmos_rho)*S48*S48)</f>
        <v>0.11689022156863017</v>
      </c>
      <c r="V48">
        <f t="shared" si="5"/>
        <v>2.0847126081698534E-2</v>
      </c>
      <c r="W48">
        <f t="shared" si="11"/>
        <v>160.51311411461941</v>
      </c>
      <c r="X48">
        <f t="shared" si="6"/>
        <v>5.6070184979236455</v>
      </c>
      <c r="Y48" cm="1">
        <f t="array" ref="Y48">(1/('BD-5J Details'!$H$9*Linterp(10000,atmos_h,atmos_aspeed)/Linterp(0,atmos_h,atmos_aspeed)))*'HW#8 Calculations'!X48</f>
        <v>4.4694711669285301</v>
      </c>
      <c r="Z48">
        <f t="shared" si="7"/>
        <v>16.399964121748152</v>
      </c>
      <c r="AA48" s="69" cm="1">
        <f t="array" ref="AA48">S48*0.592484*X48/('BD-5J Details'!$H$9*Linterp(10000,atmos_h,atmos_aspeed)/Linterp(0,atmos_h,atmos_aspeed))</f>
        <v>1275.7429825580793</v>
      </c>
    </row>
    <row r="49" spans="9:27" x14ac:dyDescent="0.25">
      <c r="I49" s="68">
        <f t="shared" si="8"/>
        <v>491.8203492385378</v>
      </c>
      <c r="J49" cm="1">
        <f t="array" ref="J49">I49/Linterp(J$2,atmos_h,atmos_aspeed)</f>
        <v>0.4405216079883002</v>
      </c>
      <c r="K49" cm="1">
        <f t="array" ref="K49">1*W/(S*0.5*Linterp(J$2,atmos_h,atmos_rho)*I49*I49)</f>
        <v>8.2824812464742756E-2</v>
      </c>
      <c r="L49">
        <f t="shared" si="2"/>
        <v>2.0425316872708828E-2</v>
      </c>
      <c r="M49">
        <f t="shared" si="10"/>
        <v>221.94780330185733</v>
      </c>
      <c r="N49">
        <f t="shared" si="3"/>
        <v>4.0550074684720636</v>
      </c>
      <c r="O49">
        <f>(1/'BD-5J Details'!$H$9)*'HW#8 Calculations'!N49</f>
        <v>3.1192365142092795</v>
      </c>
      <c r="P49">
        <f t="shared" si="4"/>
        <v>14.090014103607839</v>
      </c>
      <c r="Q49" s="69">
        <f>I49*0.592484*N49/'BD-5J Details'!$H$9</f>
        <v>908.93206946341581</v>
      </c>
      <c r="S49" s="68">
        <f t="shared" si="9"/>
        <v>491.75964863341386</v>
      </c>
      <c r="T49" cm="1">
        <f t="array" ref="T49">S49/Linterp(T$2,atmos_h,atmos_aspeed)</f>
        <v>0.45643728680923429</v>
      </c>
      <c r="U49" cm="1">
        <f t="array" ref="U49">1*W/(S*0.5*Linterp(T$2,atmos_h,atmos_rho)*S49*S49)</f>
        <v>0.11218460033538312</v>
      </c>
      <c r="V49">
        <f t="shared" si="5"/>
        <v>2.0780293842249397E-2</v>
      </c>
      <c r="W49">
        <f t="shared" si="11"/>
        <v>166.70973023135821</v>
      </c>
      <c r="X49">
        <f t="shared" si="6"/>
        <v>5.3986051009199549</v>
      </c>
      <c r="Y49" cm="1">
        <f t="array" ref="Y49">(1/('BD-5J Details'!$H$9*Linterp(10000,atmos_h,atmos_aspeed)/Linterp(0,atmos_h,atmos_aspeed)))*'HW#8 Calculations'!X49</f>
        <v>4.3033405096006527</v>
      </c>
      <c r="Z49">
        <f t="shared" si="7"/>
        <v>16.118140537768006</v>
      </c>
      <c r="AA49" s="69" cm="1">
        <f t="array" ref="AA49">S49*0.592484*X49/('BD-5J Details'!$H$9*Linterp(10000,atmos_h,atmos_aspeed)/Linterp(0,atmos_h,atmos_aspeed))</f>
        <v>1253.820101696087</v>
      </c>
    </row>
    <row r="50" spans="9:27" x14ac:dyDescent="0.25">
      <c r="I50" s="68">
        <f t="shared" si="8"/>
        <v>501.8203492385378</v>
      </c>
      <c r="J50" cm="1">
        <f t="array" ref="J50">I50/Linterp(J$2,atmos_h,atmos_aspeed)</f>
        <v>0.44947856978685813</v>
      </c>
      <c r="K50" cm="1">
        <f t="array" ref="K50">1*W/(S*0.5*Linterp(J$2,atmos_h,atmos_rho)*I50*I50)</f>
        <v>7.9556727823382078E-2</v>
      </c>
      <c r="L50">
        <f t="shared" si="2"/>
        <v>2.039241492240175E-2</v>
      </c>
      <c r="M50">
        <f t="shared" si="10"/>
        <v>230.69291475770697</v>
      </c>
      <c r="N50">
        <f t="shared" si="3"/>
        <v>3.901290167256569</v>
      </c>
      <c r="O50">
        <f>(1/'BD-5J Details'!$H$9)*'HW#8 Calculations'!N50</f>
        <v>3.0009924363512068</v>
      </c>
      <c r="P50">
        <f t="shared" si="4"/>
        <v>13.831516431960656</v>
      </c>
      <c r="Q50" s="69">
        <f>I50*0.592484*N50/'BD-5J Details'!$H$9</f>
        <v>892.25665509448459</v>
      </c>
      <c r="S50" s="68">
        <f t="shared" si="9"/>
        <v>501.75964863341386</v>
      </c>
      <c r="T50" cm="1">
        <f t="array" ref="T50">S50/Linterp(T$2,atmos_h,atmos_aspeed)</f>
        <v>0.46571900172988018</v>
      </c>
      <c r="U50" cm="1">
        <f t="array" ref="U50">1*W/(S*0.5*Linterp(T$2,atmos_h,atmos_rho)*S50*S50)</f>
        <v>0.10775751302781429</v>
      </c>
      <c r="V50">
        <f t="shared" si="5"/>
        <v>2.0719924260064252E-2</v>
      </c>
      <c r="W50">
        <f t="shared" si="11"/>
        <v>173.05458626578022</v>
      </c>
      <c r="X50">
        <f t="shared" si="6"/>
        <v>5.2006711837024904</v>
      </c>
      <c r="Y50" cm="1">
        <f t="array" ref="Y50">(1/('BD-5J Details'!$H$9*Linterp(10000,atmos_h,atmos_aspeed)/Linterp(0,atmos_h,atmos_aspeed)))*'HW#8 Calculations'!X50</f>
        <v>4.1455632637634432</v>
      </c>
      <c r="Z50">
        <f t="shared" si="7"/>
        <v>15.842934119089353</v>
      </c>
      <c r="AA50" s="69" cm="1">
        <f t="array" ref="AA50">S50*0.592484*X50/('BD-5J Details'!$H$9*Linterp(10000,atmos_h,atmos_aspeed)/Linterp(0,atmos_h,atmos_aspeed))</f>
        <v>1232.411965996653</v>
      </c>
    </row>
    <row r="51" spans="9:27" x14ac:dyDescent="0.25">
      <c r="I51" s="68">
        <f t="shared" si="8"/>
        <v>511.8203492385378</v>
      </c>
      <c r="J51" cm="1">
        <f t="array" ref="J51">I51/Linterp(J$2,atmos_h,atmos_aspeed)</f>
        <v>0.45843553158541606</v>
      </c>
      <c r="K51" cm="1">
        <f t="array" ref="K51">1*W/(S*0.5*Linterp(J$2,atmos_h,atmos_rho)*I51*I51)</f>
        <v>7.6478322126213347E-2</v>
      </c>
      <c r="L51">
        <f t="shared" si="2"/>
        <v>2.0362633892824934E-2</v>
      </c>
      <c r="M51">
        <f t="shared" si="10"/>
        <v>239.62830242664253</v>
      </c>
      <c r="N51">
        <f t="shared" si="3"/>
        <v>3.7558167832679827</v>
      </c>
      <c r="O51">
        <f>(1/'BD-5J Details'!$H$9)*'HW#8 Calculations'!N51</f>
        <v>2.8890898332830632</v>
      </c>
      <c r="P51">
        <f t="shared" si="4"/>
        <v>13.581108619774049</v>
      </c>
      <c r="Q51" s="69">
        <f>I51*0.592484*N51/'BD-5J Details'!$H$9</f>
        <v>876.1031090960953</v>
      </c>
      <c r="S51" s="68">
        <f t="shared" si="9"/>
        <v>511.75964863341386</v>
      </c>
      <c r="T51" cm="1">
        <f t="array" ref="T51">S51/Linterp(T$2,atmos_h,atmos_aspeed)</f>
        <v>0.47500071665052607</v>
      </c>
      <c r="U51" cm="1">
        <f t="array" ref="U51">1*W/(S*0.5*Linterp(T$2,atmos_h,atmos_rho)*S51*S51)</f>
        <v>0.10358740310919654</v>
      </c>
      <c r="V51">
        <f t="shared" si="5"/>
        <v>2.0665281705140245E-2</v>
      </c>
      <c r="W51">
        <f t="shared" si="11"/>
        <v>179.54647936313614</v>
      </c>
      <c r="X51">
        <f t="shared" si="6"/>
        <v>5.0126296165336273</v>
      </c>
      <c r="Y51" cm="1">
        <f t="array" ref="Y51">(1/('BD-5J Details'!$H$9*Linterp(10000,atmos_h,atmos_aspeed)/Linterp(0,atmos_h,atmos_aspeed)))*'HW#8 Calculations'!X51</f>
        <v>3.9956714160806657</v>
      </c>
      <c r="Z51">
        <f t="shared" si="7"/>
        <v>15.57442934813543</v>
      </c>
      <c r="AA51" s="69" cm="1">
        <f t="array" ref="AA51">S51*0.592484*X51/('BD-5J Details'!$H$9*Linterp(10000,atmos_h,atmos_aspeed)/Linterp(0,atmos_h,atmos_aspeed))</f>
        <v>1211.5251472948007</v>
      </c>
    </row>
    <row r="52" spans="9:27" x14ac:dyDescent="0.25">
      <c r="I52" s="68">
        <f t="shared" si="8"/>
        <v>521.8203492385378</v>
      </c>
      <c r="J52" cm="1">
        <f t="array" ref="J52">I52/Linterp(J$2,atmos_h,atmos_aspeed)</f>
        <v>0.46739249338397398</v>
      </c>
      <c r="K52" cm="1">
        <f t="array" ref="K52">1*W/(S*0.5*Linterp(J$2,atmos_h,atmos_rho)*I52*I52)</f>
        <v>7.3575195827745035E-2</v>
      </c>
      <c r="L52">
        <f t="shared" si="2"/>
        <v>2.0335625185347643E-2</v>
      </c>
      <c r="M52">
        <f t="shared" si="10"/>
        <v>248.75316281402561</v>
      </c>
      <c r="N52">
        <f t="shared" si="3"/>
        <v>3.6180444494402817</v>
      </c>
      <c r="O52">
        <f>(1/'BD-5J Details'!$H$9)*'HW#8 Calculations'!N52</f>
        <v>2.7831111149540626</v>
      </c>
      <c r="P52">
        <f t="shared" si="4"/>
        <v>13.338536597941062</v>
      </c>
      <c r="Q52" s="69">
        <f>I52*0.592484*N52/'BD-5J Details'!$H$9</f>
        <v>860.45504173595521</v>
      </c>
      <c r="S52" s="68">
        <f t="shared" si="9"/>
        <v>521.75964863341392</v>
      </c>
      <c r="T52" cm="1">
        <f t="array" ref="T52">S52/Linterp(T$2,atmos_h,atmos_aspeed)</f>
        <v>0.48428243157117201</v>
      </c>
      <c r="U52" cm="1">
        <f t="array" ref="U52">1*W/(S*0.5*Linterp(T$2,atmos_h,atmos_rho)*S52*S52)</f>
        <v>9.9654759800991047E-2</v>
      </c>
      <c r="V52">
        <f t="shared" si="5"/>
        <v>2.0615726411361581E-2</v>
      </c>
      <c r="W52">
        <f t="shared" si="11"/>
        <v>186.1843208219835</v>
      </c>
      <c r="X52">
        <f t="shared" si="6"/>
        <v>4.833919397866576</v>
      </c>
      <c r="Y52" cm="1">
        <f t="array" ref="Y52">(1/('BD-5J Details'!$H$9*Linterp(10000,atmos_h,atmos_aspeed)/Linterp(0,atmos_h,atmos_aspeed)))*'HW#8 Calculations'!X52</f>
        <v>3.8532177805409109</v>
      </c>
      <c r="Z52">
        <f t="shared" si="7"/>
        <v>15.312650889685406</v>
      </c>
      <c r="AA52" s="69" cm="1">
        <f t="array" ref="AA52">S52*0.592484*X52/('BD-5J Details'!$H$9*Linterp(10000,atmos_h,atmos_aspeed)/Linterp(0,atmos_h,atmos_aspeed))</f>
        <v>1191.1615642483216</v>
      </c>
    </row>
    <row r="53" spans="9:27" x14ac:dyDescent="0.25">
      <c r="I53" s="70">
        <f t="shared" si="8"/>
        <v>531.8203492385378</v>
      </c>
      <c r="J53" s="32" cm="1">
        <f t="array" ref="J53">I53/Linterp(J$2,atmos_h,atmos_aspeed)</f>
        <v>0.47634945518253191</v>
      </c>
      <c r="K53" s="32" cm="1">
        <f t="array" ref="K53">1*W/(S*0.5*Linterp(J$2,atmos_h,atmos_rho)*I53*I53)</f>
        <v>7.0834290326821939E-2</v>
      </c>
      <c r="L53" s="32">
        <f t="shared" si="2"/>
        <v>2.031108479453848E-2</v>
      </c>
      <c r="M53" s="32">
        <f t="shared" si="10"/>
        <v>258.06676724991172</v>
      </c>
      <c r="N53" s="32">
        <f t="shared" si="3"/>
        <v>3.4874695784771093</v>
      </c>
      <c r="O53">
        <f>(1/'BD-5J Details'!$H$9)*'HW#8 Calculations'!N53</f>
        <v>2.6826689065208531</v>
      </c>
      <c r="P53" s="32">
        <f t="shared" si="4"/>
        <v>13.103540469408516</v>
      </c>
      <c r="Q53" s="69">
        <f>I53*0.592484*N53/'BD-5J Details'!$H$9</f>
        <v>845.29568732705616</v>
      </c>
      <c r="S53" s="70">
        <f t="shared" si="9"/>
        <v>531.75964863341392</v>
      </c>
      <c r="T53" s="32" cm="1">
        <f t="array" ref="T53">S53/Linterp(T$2,atmos_h,atmos_aspeed)</f>
        <v>0.4935641464918179</v>
      </c>
      <c r="U53" s="32" cm="1">
        <f t="array" ref="U53">1*W/(S*0.5*Linterp(T$2,atmos_h,atmos_rho)*S53*S53)</f>
        <v>9.5941889453232662E-2</v>
      </c>
      <c r="V53" s="32">
        <f t="shared" si="5"/>
        <v>2.0570700461415091E-2</v>
      </c>
      <c r="W53" s="32">
        <f t="shared" si="11"/>
        <v>192.96712333665411</v>
      </c>
      <c r="X53" s="32">
        <f t="shared" si="6"/>
        <v>4.6640069273865006</v>
      </c>
      <c r="Y53" cm="1">
        <f t="array" ref="Y53">(1/('BD-5J Details'!$H$9*Linterp(10000,atmos_h,atmos_aspeed)/Linterp(0,atmos_h,atmos_aspeed)))*'HW#8 Calculations'!X53</f>
        <v>3.7177770132251773</v>
      </c>
      <c r="Z53" s="32">
        <f t="shared" si="7"/>
        <v>15.057575632423262</v>
      </c>
      <c r="AA53" s="69" cm="1">
        <f t="array" ref="AA53">S53*0.592484*X53/('BD-5J Details'!$H$9*Linterp(10000,atmos_h,atmos_aspeed)/Linterp(0,atmos_h,atmos_aspeed))</f>
        <v>1171.3194190423549</v>
      </c>
    </row>
    <row r="54" spans="9:27" x14ac:dyDescent="0.25">
      <c r="I54" s="2"/>
    </row>
    <row r="55" spans="9:27" x14ac:dyDescent="0.25">
      <c r="I55" s="2"/>
    </row>
    <row r="56" spans="9:27" x14ac:dyDescent="0.25">
      <c r="I56" s="2"/>
    </row>
    <row r="57" spans="9:27" x14ac:dyDescent="0.25">
      <c r="I57" s="2"/>
    </row>
    <row r="58" spans="9:27" x14ac:dyDescent="0.25">
      <c r="I58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1CA4B-A6C1-48E0-9431-2B24867A0794}">
  <dimension ref="A2:G24"/>
  <sheetViews>
    <sheetView workbookViewId="0">
      <selection activeCell="G13" sqref="G13"/>
    </sheetView>
  </sheetViews>
  <sheetFormatPr defaultRowHeight="15" x14ac:dyDescent="0.25"/>
  <cols>
    <col min="1" max="1" width="48.7109375" customWidth="1"/>
    <col min="4" max="4" width="12.7109375" customWidth="1"/>
  </cols>
  <sheetData>
    <row r="2" spans="1:7" x14ac:dyDescent="0.25">
      <c r="A2" s="71" t="s">
        <v>133</v>
      </c>
    </row>
    <row r="3" spans="1:7" x14ac:dyDescent="0.25">
      <c r="A3" s="71" t="s">
        <v>134</v>
      </c>
    </row>
    <row r="4" spans="1:7" ht="15.75" thickBot="1" x14ac:dyDescent="0.3"/>
    <row r="5" spans="1:7" ht="16.5" thickBot="1" x14ac:dyDescent="0.3">
      <c r="A5" s="72" t="s">
        <v>135</v>
      </c>
      <c r="B5" s="73" t="s">
        <v>99</v>
      </c>
      <c r="C5" s="73" t="s">
        <v>100</v>
      </c>
      <c r="D5" s="73" t="s">
        <v>136</v>
      </c>
    </row>
    <row r="6" spans="1:7" ht="19.5" thickBot="1" x14ac:dyDescent="0.3">
      <c r="A6" s="74" t="s">
        <v>137</v>
      </c>
      <c r="B6" s="75" t="s">
        <v>59</v>
      </c>
      <c r="C6" s="76" t="s">
        <v>4</v>
      </c>
      <c r="D6" s="77">
        <f>0+POWER(V_1,2)/(2*g)</f>
        <v>996.08212846984793</v>
      </c>
    </row>
    <row r="7" spans="1:7" ht="19.5" thickBot="1" x14ac:dyDescent="0.3">
      <c r="A7" s="74" t="s">
        <v>138</v>
      </c>
      <c r="B7" s="75" t="s">
        <v>139</v>
      </c>
      <c r="C7" s="76" t="s">
        <v>4</v>
      </c>
      <c r="D7" s="77">
        <f>(T_max_SL-F7)*V_1/W</f>
        <v>35.711672283964361</v>
      </c>
      <c r="E7" t="s">
        <v>154</v>
      </c>
      <c r="F7" cm="1">
        <f t="array" ref="F7">Linterp(V_1,vel_SL, vel_SL_D)</f>
        <v>75.048570249825516</v>
      </c>
      <c r="G7" t="s">
        <v>63</v>
      </c>
    </row>
    <row r="8" spans="1:7" ht="16.5" thickBot="1" x14ac:dyDescent="0.3">
      <c r="A8" s="74" t="s">
        <v>140</v>
      </c>
      <c r="B8" s="75" t="s">
        <v>59</v>
      </c>
      <c r="C8" s="76" t="s">
        <v>4</v>
      </c>
      <c r="D8" s="77">
        <f>D6</f>
        <v>996.08212846984793</v>
      </c>
    </row>
    <row r="9" spans="1:7" ht="16.5" thickBot="1" x14ac:dyDescent="0.3">
      <c r="A9" s="74" t="s">
        <v>141</v>
      </c>
      <c r="B9" s="75" t="s">
        <v>139</v>
      </c>
      <c r="C9" s="76" t="s">
        <v>4</v>
      </c>
      <c r="D9" s="77">
        <f>SQRT((D6-0)*(2*g))</f>
        <v>253.17166666666665</v>
      </c>
    </row>
    <row r="10" spans="1:7" ht="16.5" thickBot="1" x14ac:dyDescent="0.3">
      <c r="A10" s="74" t="s">
        <v>142</v>
      </c>
      <c r="B10" s="75" t="s">
        <v>108</v>
      </c>
      <c r="C10" s="76" t="s">
        <v>6</v>
      </c>
      <c r="D10" s="78" cm="1">
        <f t="array" ref="D10">D9/Linterp(0, atmos_h, atmos_aspeed)</f>
        <v>0.22676489468105751</v>
      </c>
    </row>
    <row r="11" spans="1:7" ht="16.5" thickBot="1" x14ac:dyDescent="0.3">
      <c r="A11" s="79"/>
      <c r="B11" s="80"/>
      <c r="C11" s="80"/>
      <c r="D11" s="80"/>
    </row>
    <row r="12" spans="1:7" ht="16.5" thickBot="1" x14ac:dyDescent="0.3">
      <c r="A12" s="81" t="s">
        <v>143</v>
      </c>
      <c r="B12" s="73" t="s">
        <v>99</v>
      </c>
      <c r="C12" s="73"/>
      <c r="D12" s="73" t="s">
        <v>136</v>
      </c>
    </row>
    <row r="13" spans="1:7" ht="19.5" thickBot="1" x14ac:dyDescent="0.3">
      <c r="A13" s="74" t="s">
        <v>137</v>
      </c>
      <c r="B13" s="75" t="s">
        <v>59</v>
      </c>
      <c r="C13" s="76" t="s">
        <v>4</v>
      </c>
      <c r="D13" s="77">
        <f>10000+POWER(V_2,2)/(2*g)</f>
        <v>11355.778452639515</v>
      </c>
    </row>
    <row r="14" spans="1:7" ht="19.5" thickBot="1" x14ac:dyDescent="0.3">
      <c r="A14" s="74" t="s">
        <v>138</v>
      </c>
      <c r="B14" s="75" t="s">
        <v>139</v>
      </c>
      <c r="C14" s="76" t="s">
        <v>4</v>
      </c>
      <c r="D14" s="77" cm="1">
        <f t="array" ref="D14">(T_max_SL*Linterp(10000,atmos_h,atmos_dr)-F14)*V_2/W</f>
        <v>24.255125500603405</v>
      </c>
      <c r="E14" t="s">
        <v>154</v>
      </c>
      <c r="F14" cm="1">
        <f t="array" ref="F14">Linterp(V_2,vel_10k, vel_10k_D)</f>
        <v>75.264721444875377</v>
      </c>
      <c r="G14" t="s">
        <v>63</v>
      </c>
    </row>
    <row r="15" spans="1:7" ht="16.5" thickBot="1" x14ac:dyDescent="0.3">
      <c r="A15" s="74" t="s">
        <v>140</v>
      </c>
      <c r="B15" s="75" t="s">
        <v>59</v>
      </c>
      <c r="C15" s="76" t="s">
        <v>4</v>
      </c>
      <c r="D15" s="77">
        <f>D13</f>
        <v>11355.778452639515</v>
      </c>
    </row>
    <row r="16" spans="1:7" ht="16.5" thickBot="1" x14ac:dyDescent="0.3">
      <c r="A16" s="74" t="s">
        <v>141</v>
      </c>
      <c r="B16" s="75" t="s">
        <v>139</v>
      </c>
      <c r="C16" s="76" t="s">
        <v>4</v>
      </c>
      <c r="D16" s="77">
        <f>SQRT((D13-0)*(2*g))</f>
        <v>854.82257332761606</v>
      </c>
    </row>
    <row r="17" spans="1:4" ht="16.5" thickBot="1" x14ac:dyDescent="0.3">
      <c r="A17" s="74" t="s">
        <v>142</v>
      </c>
      <c r="B17" s="75" t="s">
        <v>108</v>
      </c>
      <c r="C17" s="76" t="s">
        <v>6</v>
      </c>
      <c r="D17" s="78" cm="1">
        <f t="array" ref="D17">D16/Linterp(10000, atmos_h, atmos_aspeed)</f>
        <v>0.79342194333598581</v>
      </c>
    </row>
    <row r="20" spans="1:4" ht="15.75" x14ac:dyDescent="0.25">
      <c r="A20" s="83" t="s">
        <v>144</v>
      </c>
      <c r="B20" s="82" t="s">
        <v>145</v>
      </c>
      <c r="C20">
        <v>32.173999999999999</v>
      </c>
      <c r="D20" t="s">
        <v>146</v>
      </c>
    </row>
    <row r="21" spans="1:4" ht="15.75" x14ac:dyDescent="0.25">
      <c r="A21" s="83" t="s">
        <v>147</v>
      </c>
      <c r="B21" s="82" t="s">
        <v>148</v>
      </c>
      <c r="C21">
        <v>150</v>
      </c>
      <c r="D21" t="s">
        <v>149</v>
      </c>
    </row>
    <row r="22" spans="1:4" ht="15.75" x14ac:dyDescent="0.25">
      <c r="A22" s="83" t="s">
        <v>150</v>
      </c>
      <c r="B22" s="82" t="s">
        <v>148</v>
      </c>
      <c r="C22">
        <v>175</v>
      </c>
      <c r="D22" t="s">
        <v>149</v>
      </c>
    </row>
    <row r="23" spans="1:4" ht="15.75" x14ac:dyDescent="0.25">
      <c r="A23" s="83" t="s">
        <v>147</v>
      </c>
      <c r="B23" s="82" t="s">
        <v>151</v>
      </c>
      <c r="C23" s="2">
        <f>C21*6076.12/3600</f>
        <v>253.17166666666665</v>
      </c>
      <c r="D23" t="s">
        <v>152</v>
      </c>
    </row>
    <row r="24" spans="1:4" ht="15.75" x14ac:dyDescent="0.25">
      <c r="A24" s="83" t="s">
        <v>150</v>
      </c>
      <c r="B24" s="82" t="s">
        <v>153</v>
      </c>
      <c r="C24" s="2">
        <f>C22*6076.12/3600</f>
        <v>295.36694444444447</v>
      </c>
      <c r="D24" t="s">
        <v>152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1CFBC-6E00-428C-A670-D9628A77F61C}">
  <dimension ref="A2:J24"/>
  <sheetViews>
    <sheetView workbookViewId="0">
      <selection activeCell="J19" sqref="J19"/>
    </sheetView>
  </sheetViews>
  <sheetFormatPr defaultRowHeight="15" x14ac:dyDescent="0.25"/>
  <cols>
    <col min="1" max="1" width="48.5703125" customWidth="1"/>
  </cols>
  <sheetData>
    <row r="2" spans="1:10" x14ac:dyDescent="0.25">
      <c r="A2" s="84" t="s">
        <v>155</v>
      </c>
    </row>
    <row r="3" spans="1:10" x14ac:dyDescent="0.25">
      <c r="A3" s="84" t="s">
        <v>156</v>
      </c>
    </row>
    <row r="4" spans="1:10" ht="15.75" thickBot="1" x14ac:dyDescent="0.3">
      <c r="I4" t="s">
        <v>170</v>
      </c>
    </row>
    <row r="5" spans="1:10" ht="16.5" thickBot="1" x14ac:dyDescent="0.3">
      <c r="A5" s="53" t="s">
        <v>157</v>
      </c>
      <c r="B5" s="54" t="s">
        <v>99</v>
      </c>
      <c r="C5" s="54" t="s">
        <v>100</v>
      </c>
      <c r="D5" s="54" t="s">
        <v>101</v>
      </c>
      <c r="E5" s="86">
        <v>10000</v>
      </c>
      <c r="F5" s="87" t="s">
        <v>59</v>
      </c>
      <c r="H5" t="s">
        <v>8</v>
      </c>
      <c r="I5">
        <v>0</v>
      </c>
      <c r="J5">
        <v>10000</v>
      </c>
    </row>
    <row r="6" spans="1:10" ht="16.5" thickBot="1" x14ac:dyDescent="0.3">
      <c r="A6" s="58" t="s">
        <v>158</v>
      </c>
      <c r="B6" s="56" t="s">
        <v>106</v>
      </c>
      <c r="C6" s="56" t="s">
        <v>4</v>
      </c>
      <c r="D6" s="61" cm="1">
        <f t="array" ref="D6">SQRT( (( Linterp(0,atmos_h,atmos_dr)*T_max_SL/S)-(W/S)*SQRT( POWER(Linterp(0,atmos_h,atmos_dr)*T_max_SL/W,2 ) - 4*CD0*K)) / (Linterp(0, atmos_h, atmos_rho)*CD0) )</f>
        <v>75.349812048217402</v>
      </c>
      <c r="E6" s="61" cm="1">
        <f t="array" ref="E6">SQRT( (( Linterp(10000,atmos_h,atmos_dr)*T_max_SL/S)-(W/S)*SQRT( POWER(Linterp(10000,atmos_h,atmos_dr)*T_max_SL/W,2 ) - 4*CD0*K)) / (Linterp(10000, atmos_h, atmos_rho)*CD0) )</f>
        <v>103.21299973212039</v>
      </c>
      <c r="F6" s="85"/>
      <c r="I6">
        <f>T_max_SL</f>
        <v>202</v>
      </c>
      <c r="J6" cm="1">
        <f t="array" ref="J6">T_max_SL*Linterp(J5,atmos_h,atmos_dr)</f>
        <v>149.17147831505383</v>
      </c>
    </row>
    <row r="7" spans="1:10" ht="16.5" thickBot="1" x14ac:dyDescent="0.3">
      <c r="A7" s="58" t="s">
        <v>107</v>
      </c>
      <c r="B7" s="59" t="s">
        <v>108</v>
      </c>
      <c r="C7" s="59" t="s">
        <v>6</v>
      </c>
      <c r="D7" s="62" cm="1">
        <f t="array" ref="D7">D6/Linterp(0, atmos_h, atmos_aspeed)</f>
        <v>6.7490538804440323E-2</v>
      </c>
      <c r="E7" s="62" cm="1">
        <f t="array" ref="E7">E6/Linterp(10000, atmos_h, atmos_aspeed)</f>
        <v>9.5799363961824313E-2</v>
      </c>
      <c r="F7" s="85"/>
      <c r="H7" t="s">
        <v>77</v>
      </c>
      <c r="I7">
        <v>0</v>
      </c>
    </row>
    <row r="8" spans="1:10" ht="16.5" thickBot="1" x14ac:dyDescent="0.3">
      <c r="A8" s="58" t="s">
        <v>159</v>
      </c>
      <c r="B8" s="56" t="s">
        <v>106</v>
      </c>
      <c r="C8" s="56" t="s">
        <v>4</v>
      </c>
      <c r="D8" s="61" cm="1">
        <f t="array" ref="D8">SQRT(2*W*1/(Linterp(0,atmos_h,atmos_rho)*S*CL_max))</f>
        <v>121.8203492385378</v>
      </c>
      <c r="E8" s="61" cm="1">
        <f t="array" ref="E8">SQRT(2*W*1/(Linterp(10000,atmos_h,atmos_rho)*S*CL_max))</f>
        <v>141.75964863341386</v>
      </c>
      <c r="F8" s="85"/>
      <c r="I8">
        <v>0.6</v>
      </c>
    </row>
    <row r="9" spans="1:10" ht="16.5" thickBot="1" x14ac:dyDescent="0.3">
      <c r="A9" s="58" t="s">
        <v>107</v>
      </c>
      <c r="B9" s="59" t="s">
        <v>108</v>
      </c>
      <c r="C9" s="59" t="s">
        <v>6</v>
      </c>
      <c r="D9" s="62" cm="1">
        <f t="array" ref="D9">D8/Linterp(0, atmos_h, atmos_aspeed)</f>
        <v>0.10911402144165686</v>
      </c>
      <c r="E9" s="62" cm="1">
        <f t="array" ref="E9">E8/Linterp(10000, atmos_h, atmos_aspeed)</f>
        <v>0.13157726458662777</v>
      </c>
      <c r="F9" s="85"/>
    </row>
    <row r="10" spans="1:10" ht="16.5" thickBot="1" x14ac:dyDescent="0.3">
      <c r="A10" s="53" t="s">
        <v>160</v>
      </c>
      <c r="B10" s="54" t="s">
        <v>99</v>
      </c>
      <c r="C10" s="54" t="s">
        <v>100</v>
      </c>
      <c r="D10" s="54" t="s">
        <v>101</v>
      </c>
      <c r="E10" s="86">
        <v>10000</v>
      </c>
      <c r="F10" s="87" t="s">
        <v>59</v>
      </c>
    </row>
    <row r="11" spans="1:10" ht="16.5" thickBot="1" x14ac:dyDescent="0.3">
      <c r="A11" s="58" t="s">
        <v>161</v>
      </c>
      <c r="B11" s="56" t="s">
        <v>106</v>
      </c>
      <c r="C11" s="56" t="s">
        <v>4</v>
      </c>
      <c r="D11" s="61" cm="1">
        <f t="array" ref="D11">SQRT( (( Linterp(0,atmos_h,atmos_dr)*T_max_SL/S)+(W/S)*SQRT( POWER(Linterp(0,atmos_h,atmos_dr)*T_max_SL/W,2 ) - 4*CD0*K)) / (Linterp(0, atmos_h, atmos_rho)*CD0) )</f>
        <v>468.13608894911954</v>
      </c>
      <c r="E11" s="61" cm="1">
        <f t="array" ref="E11">SQRT( (( Linterp(10000,atmos_h,atmos_dr)*T_max_SL/S)+(W/S)*SQRT( POWER(Linterp(10000,atmos_h,atmos_dr)*T_max_SL/W,2 ) - 4*CD0*K)) / (Linterp(10000, atmos_h, atmos_rho)*CD0) )</f>
        <v>462.79160389810119</v>
      </c>
    </row>
    <row r="12" spans="1:10" ht="16.5" thickBot="1" x14ac:dyDescent="0.3">
      <c r="A12" s="58" t="s">
        <v>107</v>
      </c>
      <c r="B12" s="59" t="s">
        <v>108</v>
      </c>
      <c r="C12" s="59" t="s">
        <v>6</v>
      </c>
      <c r="D12" s="62" cm="1">
        <f t="array" ref="D12">D11/Linterp(0, atmos_h, atmos_aspeed)</f>
        <v>0.419307706524358</v>
      </c>
      <c r="E12" s="62" cm="1">
        <f t="array" ref="E12">E11/Linterp(10000, atmos_h, atmos_aspeed)</f>
        <v>0.4295499735050653</v>
      </c>
    </row>
    <row r="13" spans="1:10" ht="16.5" thickBot="1" x14ac:dyDescent="0.3">
      <c r="A13" s="58" t="s">
        <v>162</v>
      </c>
      <c r="B13" s="56" t="s">
        <v>106</v>
      </c>
      <c r="C13" s="56" t="s">
        <v>4</v>
      </c>
      <c r="D13" s="61">
        <f>B18*6076.12/3600</f>
        <v>438.83088888888886</v>
      </c>
      <c r="E13" s="61">
        <f>B19*6076.12/3600</f>
        <v>510.65780887367504</v>
      </c>
      <c r="F13" t="s">
        <v>167</v>
      </c>
    </row>
    <row r="14" spans="1:10" ht="16.5" thickBot="1" x14ac:dyDescent="0.3">
      <c r="A14" s="58" t="s">
        <v>107</v>
      </c>
      <c r="B14" s="59" t="s">
        <v>108</v>
      </c>
      <c r="C14" s="59" t="s">
        <v>6</v>
      </c>
      <c r="D14" s="62" cm="1">
        <f t="array" ref="D14">D13/Linterp(0, atmos_h, atmos_aspeed)</f>
        <v>0.39305915078049969</v>
      </c>
      <c r="E14" s="62" cm="1">
        <f t="array" ref="E14">E13/Linterp(10000, atmos_h, atmos_aspeed)</f>
        <v>0.47397802039671322</v>
      </c>
    </row>
    <row r="15" spans="1:10" ht="16.5" thickBot="1" x14ac:dyDescent="0.3">
      <c r="A15" s="58" t="s">
        <v>168</v>
      </c>
      <c r="B15" s="56" t="s">
        <v>106</v>
      </c>
      <c r="C15" s="56" t="s">
        <v>4</v>
      </c>
      <c r="D15" s="61" cm="1">
        <f t="array" ref="D15">SQRT(2*Linterp(0,atmos_h,atmos_qms)*POWER($B$17/Linterp(0,atmos_h,atmos_vela), 2)/Linterp(0,atmos_h,atmos_rho))</f>
        <v>438.86470317714623</v>
      </c>
      <c r="E15" s="61" cm="1">
        <f t="array" ref="E15">SQRT(2*Linterp(0,atmos_h,atmos_qms)*POWER($B$17/Linterp(0,atmos_h,atmos_vela), 2)/Linterp(10000,atmos_h,atmos_rho))</f>
        <v>510.69715781375032</v>
      </c>
      <c r="F15" t="s">
        <v>169</v>
      </c>
    </row>
    <row r="17" spans="1:3" ht="15.75" x14ac:dyDescent="0.25">
      <c r="A17" s="88" t="s">
        <v>164</v>
      </c>
      <c r="B17">
        <v>260</v>
      </c>
      <c r="C17" t="s">
        <v>2</v>
      </c>
    </row>
    <row r="18" spans="1:3" ht="15.75" x14ac:dyDescent="0.25">
      <c r="A18" s="88" t="s">
        <v>165</v>
      </c>
      <c r="B18" cm="1">
        <f t="array" ref="B18">B17/Linterp(0,atmos_h, atmos_sqrtdr)</f>
        <v>260</v>
      </c>
      <c r="C18" t="s">
        <v>148</v>
      </c>
    </row>
    <row r="19" spans="1:3" ht="15.75" x14ac:dyDescent="0.25">
      <c r="A19" s="88" t="s">
        <v>166</v>
      </c>
      <c r="B19" cm="1">
        <f t="array" ref="B19">B17/Linterp(10000,atmos_h, atmos_sqrtdr)</f>
        <v>302.55625496949204</v>
      </c>
      <c r="C19" t="s">
        <v>148</v>
      </c>
    </row>
    <row r="23" spans="1:3" x14ac:dyDescent="0.25">
      <c r="A23" t="s">
        <v>171</v>
      </c>
    </row>
    <row r="24" spans="1:3" ht="150.6" customHeight="1" x14ac:dyDescent="0.25">
      <c r="A24" s="89" t="s">
        <v>172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D976E-EE81-4969-844F-76C62FD24796}">
  <dimension ref="A1"/>
  <sheetViews>
    <sheetView topLeftCell="D1" workbookViewId="0">
      <selection activeCell="P26" sqref="P2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57FA9-EDEA-484D-BAB0-0E19E937A9ED}">
  <dimension ref="A1"/>
  <sheetViews>
    <sheetView tabSelected="1" workbookViewId="0">
      <selection activeCell="O25" sqref="O25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24</vt:i4>
      </vt:variant>
    </vt:vector>
  </HeadingPairs>
  <TitlesOfParts>
    <vt:vector size="33" baseType="lpstr">
      <vt:lpstr>Table Key</vt:lpstr>
      <vt:lpstr>Atmospheric Table</vt:lpstr>
      <vt:lpstr>BD-5J Details</vt:lpstr>
      <vt:lpstr>HW#7 Calculations</vt:lpstr>
      <vt:lpstr>HW#8 Calculations</vt:lpstr>
      <vt:lpstr>HW#9 Calculations</vt:lpstr>
      <vt:lpstr>HW#10 Calculations</vt:lpstr>
      <vt:lpstr>10.c) Thrust Graphs SL</vt:lpstr>
      <vt:lpstr>10.c) Thrust Graphs 10k</vt:lpstr>
      <vt:lpstr>atmos_aspeed</vt:lpstr>
      <vt:lpstr>atmos_dr</vt:lpstr>
      <vt:lpstr>atmos_h</vt:lpstr>
      <vt:lpstr>atmos_qms</vt:lpstr>
      <vt:lpstr>atmos_rho</vt:lpstr>
      <vt:lpstr>atmos_sqrtdr</vt:lpstr>
      <vt:lpstr>atmos_vela</vt:lpstr>
      <vt:lpstr>b</vt:lpstr>
      <vt:lpstr>CD0</vt:lpstr>
      <vt:lpstr>CL_max</vt:lpstr>
      <vt:lpstr>g</vt:lpstr>
      <vt:lpstr>K</vt:lpstr>
      <vt:lpstr>max_CL</vt:lpstr>
      <vt:lpstr>max_n</vt:lpstr>
      <vt:lpstr>min_n</vt:lpstr>
      <vt:lpstr>S</vt:lpstr>
      <vt:lpstr>T_max_SL</vt:lpstr>
      <vt:lpstr>V_1</vt:lpstr>
      <vt:lpstr>V_2</vt:lpstr>
      <vt:lpstr>vel_10k</vt:lpstr>
      <vt:lpstr>vel_10k_D</vt:lpstr>
      <vt:lpstr>vel_SL</vt:lpstr>
      <vt:lpstr>vel_SL_D</vt:lpstr>
      <vt:lpstr>W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Study</dc:creator>
  <cp:lastModifiedBy>Martinelli, Brice (marti2bc)</cp:lastModifiedBy>
  <cp:lastPrinted>2020-09-15T13:22:51Z</cp:lastPrinted>
  <dcterms:created xsi:type="dcterms:W3CDTF">2016-01-30T23:05:58Z</dcterms:created>
  <dcterms:modified xsi:type="dcterms:W3CDTF">2025-01-09T05:05:44Z</dcterms:modified>
</cp:coreProperties>
</file>