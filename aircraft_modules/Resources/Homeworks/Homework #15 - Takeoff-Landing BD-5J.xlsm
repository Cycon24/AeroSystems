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48" documentId="8_{944C76F8-5B35-42FB-945B-F4A7CE273A79}" xr6:coauthVersionLast="47" xr6:coauthVersionMax="47" xr10:uidLastSave="{5D7DDDBF-67ED-4823-8E69-3A81A4EABAE6}"/>
  <bookViews>
    <workbookView xWindow="-110" yWindow="-110" windowWidth="25820" windowHeight="13900" tabRatio="702" firstSheet="5" activeTab="11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HW#11 Calculations" sheetId="82" r:id="rId8"/>
    <sheet name="HW#12 Calculations" sheetId="86" r:id="rId9"/>
    <sheet name="HW#13 Calculations" sheetId="87" r:id="rId10"/>
    <sheet name="HW#14 Calculations " sheetId="89" r:id="rId11"/>
    <sheet name="HW#15 Calculations" sheetId="91" r:id="rId12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CL_max_L" comment="CL max with landing flaps">'BD-5J Details'!$G$12</definedName>
    <definedName name="CL_max_TO" comment="CL max with takeoff flaps">'BD-5J Details'!$G$11</definedName>
    <definedName name="g">'HW#9 Calculations'!$C$20</definedName>
    <definedName name="K">'BD-5J Details'!$G$15</definedName>
    <definedName name="LD_max">'HW#8 Calculations'!$D$10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sfc_SL">'BD-5J Details'!$H$9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  <definedName name="W_L" comment="Landing Weight">'BD-5J Details'!$H$7</definedName>
    <definedName name="W_TO">'BD-5J Details'!$H$5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91" l="1"/>
  <c r="D24" i="91"/>
  <c r="H7" i="68"/>
  <c r="H10" i="91"/>
  <c r="G10" i="91"/>
  <c r="H20" i="91"/>
  <c r="G20" i="91"/>
  <c r="H9" i="91"/>
  <c r="G9" i="91"/>
  <c r="O11" i="91" a="1"/>
  <c r="G19" i="91" a="1"/>
  <c r="H17" i="91" a="1"/>
  <c r="G17" i="91" a="1"/>
  <c r="G18" i="91" a="1"/>
  <c r="H18" i="91" a="1"/>
  <c r="G8" i="91" a="1"/>
  <c r="H8" i="91" a="1"/>
  <c r="H19" i="91" a="1"/>
  <c r="O11" i="91" l="1"/>
  <c r="G17" i="91"/>
  <c r="D17" i="91" s="1"/>
  <c r="H19" i="91"/>
  <c r="H17" i="91"/>
  <c r="E17" i="91" s="1"/>
  <c r="H18" i="91"/>
  <c r="G18" i="91"/>
  <c r="G19" i="91"/>
  <c r="H8" i="91"/>
  <c r="G8" i="91"/>
  <c r="G7" i="91" a="1"/>
  <c r="H6" i="91" a="1"/>
  <c r="G6" i="91" a="1"/>
  <c r="F29" i="89" a="1"/>
  <c r="H7" i="91" a="1"/>
  <c r="E18" i="91" l="1"/>
  <c r="E21" i="91"/>
  <c r="E19" i="91"/>
  <c r="E20" i="91" s="1"/>
  <c r="D18" i="91"/>
  <c r="D21" i="91"/>
  <c r="D19" i="91"/>
  <c r="D20" i="91" s="1"/>
  <c r="H7" i="91"/>
  <c r="G7" i="91"/>
  <c r="H6" i="91"/>
  <c r="E6" i="91" s="1"/>
  <c r="G6" i="91"/>
  <c r="D6" i="91" s="1"/>
  <c r="F29" i="89"/>
  <c r="G29" i="89"/>
  <c r="H29" i="89" a="1"/>
  <c r="D26" i="91" l="1"/>
  <c r="D23" i="91"/>
  <c r="D22" i="91"/>
  <c r="E8" i="91"/>
  <c r="E9" i="91" s="1"/>
  <c r="E10" i="91"/>
  <c r="E7" i="91"/>
  <c r="D10" i="91"/>
  <c r="D7" i="91"/>
  <c r="D8" i="91"/>
  <c r="D9" i="91" s="1"/>
  <c r="E22" i="91"/>
  <c r="E24" i="91"/>
  <c r="E26" i="91" s="1"/>
  <c r="E23" i="91"/>
  <c r="E29" i="89"/>
  <c r="D29" i="89" s="1"/>
  <c r="H29" i="89"/>
  <c r="I29" i="89" s="1"/>
  <c r="G30" i="89"/>
  <c r="F30" i="89" a="1"/>
  <c r="H30" i="89" a="1"/>
  <c r="J29" i="89" a="1"/>
  <c r="J29" i="89" l="1"/>
  <c r="C29" i="89" s="1"/>
  <c r="F30" i="89"/>
  <c r="D11" i="91"/>
  <c r="E11" i="91"/>
  <c r="E30" i="89"/>
  <c r="D30" i="89" s="1"/>
  <c r="H30" i="89"/>
  <c r="I30" i="89"/>
  <c r="G31" i="89"/>
  <c r="F31" i="89" a="1"/>
  <c r="G12" i="91" a="1"/>
  <c r="J30" i="89" a="1"/>
  <c r="H12" i="91" a="1"/>
  <c r="H31" i="89" a="1"/>
  <c r="G12" i="91" l="1"/>
  <c r="J30" i="89"/>
  <c r="C30" i="89" s="1"/>
  <c r="F31" i="89"/>
  <c r="H13" i="91"/>
  <c r="H12" i="91"/>
  <c r="D12" i="91"/>
  <c r="E31" i="89"/>
  <c r="D31" i="89" s="1"/>
  <c r="H31" i="89"/>
  <c r="I31" i="89"/>
  <c r="J31" i="89" a="1"/>
  <c r="E12" i="91" l="1"/>
  <c r="J31" i="89"/>
  <c r="C31" i="89" s="1"/>
  <c r="D14" i="91"/>
  <c r="E14" i="91"/>
  <c r="E15" i="89"/>
  <c r="D15" i="89"/>
  <c r="D17" i="86"/>
  <c r="D16" i="86"/>
  <c r="D31" i="86" s="1"/>
  <c r="D8" i="86"/>
  <c r="B19" i="86"/>
  <c r="B18" i="86"/>
  <c r="D16" i="87" a="1"/>
  <c r="B16" i="86" a="1"/>
  <c r="D17" i="87" a="1"/>
  <c r="I9" i="87" a="1"/>
  <c r="D18" i="87" a="1"/>
  <c r="H7" i="89" a="1"/>
  <c r="B18" i="87" a="1"/>
  <c r="B11" i="87" a="1"/>
  <c r="B9" i="87" a="1"/>
  <c r="B8" i="87" a="1"/>
  <c r="B19" i="87" a="1"/>
  <c r="B16" i="87" a="1"/>
  <c r="I11" i="87" a="1"/>
  <c r="D19" i="87" a="1"/>
  <c r="I10" i="87" a="1"/>
  <c r="E16" i="89" a="1"/>
  <c r="G7" i="89" a="1"/>
  <c r="B17" i="87" a="1"/>
  <c r="B10" i="87" a="1"/>
  <c r="B17" i="86" a="1"/>
  <c r="I8" i="87" a="1"/>
  <c r="D16" i="89" a="1"/>
  <c r="D18" i="89" l="1"/>
  <c r="E18" i="89"/>
  <c r="E16" i="89"/>
  <c r="D16" i="89"/>
  <c r="H7" i="89"/>
  <c r="E7" i="89" s="1"/>
  <c r="G7" i="89"/>
  <c r="D7" i="89"/>
  <c r="B11" i="87"/>
  <c r="B10" i="87"/>
  <c r="D18" i="87"/>
  <c r="D19" i="87"/>
  <c r="D17" i="87"/>
  <c r="D16" i="87"/>
  <c r="B19" i="87"/>
  <c r="B18" i="87"/>
  <c r="B16" i="87"/>
  <c r="B17" i="87"/>
  <c r="I11" i="87"/>
  <c r="I10" i="87"/>
  <c r="I8" i="87"/>
  <c r="I9" i="87"/>
  <c r="B9" i="87"/>
  <c r="B8" i="87"/>
  <c r="B17" i="86"/>
  <c r="C17" i="86" s="1"/>
  <c r="B16" i="86"/>
  <c r="C16" i="86"/>
  <c r="D10" i="86"/>
  <c r="I11" i="86"/>
  <c r="H11" i="86"/>
  <c r="B11" i="86"/>
  <c r="B10" i="86"/>
  <c r="H8" i="86"/>
  <c r="H7" i="86"/>
  <c r="X8" i="82"/>
  <c r="H11" i="82"/>
  <c r="L8" i="82"/>
  <c r="L9" i="82"/>
  <c r="E16" i="82"/>
  <c r="D16" i="82"/>
  <c r="D10" i="87" a="1"/>
  <c r="Z8" i="82" a="1"/>
  <c r="H12" i="86" a="1"/>
  <c r="N9" i="82" a="1"/>
  <c r="E9" i="87" a="1"/>
  <c r="E17" i="89" a="1"/>
  <c r="M9" i="82" a="1"/>
  <c r="I7" i="86" a="1"/>
  <c r="E16" i="87" a="1"/>
  <c r="D8" i="89" a="1"/>
  <c r="AB5" i="82" a="1"/>
  <c r="P5" i="82" a="1"/>
  <c r="I12" i="86" a="1"/>
  <c r="M8" i="82" a="1"/>
  <c r="E10" i="87" a="1"/>
  <c r="E8" i="89" a="1"/>
  <c r="B8" i="86" a="1"/>
  <c r="E11" i="87" a="1"/>
  <c r="Y8" i="82" a="1"/>
  <c r="D17" i="89" a="1"/>
  <c r="C8" i="86" a="1"/>
  <c r="E17" i="87" a="1"/>
  <c r="E18" i="87" a="1"/>
  <c r="E19" i="87" a="1"/>
  <c r="E8" i="87" a="1"/>
  <c r="I11" i="82" a="1"/>
  <c r="D11" i="87" a="1"/>
  <c r="N8" i="82" a="1"/>
  <c r="D8" i="89" l="1"/>
  <c r="E17" i="89"/>
  <c r="E8" i="89"/>
  <c r="D17" i="89"/>
  <c r="D11" i="89"/>
  <c r="D10" i="89"/>
  <c r="E20" i="89"/>
  <c r="E19" i="89"/>
  <c r="E11" i="89"/>
  <c r="E10" i="89"/>
  <c r="D20" i="89"/>
  <c r="D19" i="89"/>
  <c r="E17" i="87"/>
  <c r="F17" i="87" s="1"/>
  <c r="G17" i="87" s="1"/>
  <c r="C17" i="87" s="1"/>
  <c r="E16" i="87"/>
  <c r="F16" i="87" s="1"/>
  <c r="G16" i="87" s="1"/>
  <c r="C16" i="87" s="1"/>
  <c r="B31" i="87" s="1"/>
  <c r="D31" i="87" s="1"/>
  <c r="E18" i="87"/>
  <c r="F18" i="87" s="1"/>
  <c r="G18" i="87" s="1"/>
  <c r="C18" i="87" s="1"/>
  <c r="D10" i="87"/>
  <c r="E19" i="87"/>
  <c r="F19" i="87" s="1"/>
  <c r="G19" i="87" s="1"/>
  <c r="C19" i="87" s="1"/>
  <c r="E8" i="87"/>
  <c r="F8" i="87" s="1"/>
  <c r="G8" i="87" s="1"/>
  <c r="C8" i="87" s="1"/>
  <c r="E9" i="87"/>
  <c r="F9" i="87" s="1"/>
  <c r="G9" i="87" s="1"/>
  <c r="C9" i="87" s="1"/>
  <c r="D11" i="87"/>
  <c r="E11" i="87"/>
  <c r="F11" i="87" s="1"/>
  <c r="G11" i="87" s="1"/>
  <c r="C11" i="87" s="1"/>
  <c r="E10" i="87"/>
  <c r="F10" i="87" s="1"/>
  <c r="G10" i="87" s="1"/>
  <c r="C10" i="87" s="1"/>
  <c r="B31" i="86"/>
  <c r="I12" i="86"/>
  <c r="I13" i="86" s="1"/>
  <c r="I14" i="86" s="1"/>
  <c r="C18" i="86" s="1"/>
  <c r="H12" i="86"/>
  <c r="H13" i="86" s="1"/>
  <c r="H14" i="86" s="1"/>
  <c r="B8" i="86"/>
  <c r="C8" i="86"/>
  <c r="I7" i="86"/>
  <c r="Z8" i="82"/>
  <c r="AA8" i="82" s="1"/>
  <c r="AB8" i="82" s="1"/>
  <c r="AF8" i="82" s="1"/>
  <c r="Y8" i="82"/>
  <c r="N9" i="82"/>
  <c r="O9" i="82" s="1"/>
  <c r="N8" i="82"/>
  <c r="O8" i="82" s="1"/>
  <c r="M9" i="82"/>
  <c r="M8" i="82"/>
  <c r="AB5" i="82"/>
  <c r="X9" i="82"/>
  <c r="I11" i="82"/>
  <c r="P5" i="82"/>
  <c r="L10" i="82"/>
  <c r="I10" i="82"/>
  <c r="H10" i="82"/>
  <c r="H6" i="82"/>
  <c r="H7" i="82" s="1"/>
  <c r="I6" i="79"/>
  <c r="I8" i="82" a="1"/>
  <c r="I9" i="82" a="1"/>
  <c r="E15" i="79" a="1"/>
  <c r="M10" i="82" a="1"/>
  <c r="H9" i="82" a="1"/>
  <c r="D11" i="86" a="1"/>
  <c r="I6" i="82" a="1"/>
  <c r="E9" i="89" a="1"/>
  <c r="H8" i="82" a="1"/>
  <c r="Z9" i="82" a="1"/>
  <c r="D8" i="87" a="1"/>
  <c r="J6" i="79" a="1"/>
  <c r="D9" i="87" a="1"/>
  <c r="N10" i="82" a="1"/>
  <c r="D9" i="89" a="1"/>
  <c r="D15" i="79" a="1"/>
  <c r="D9" i="86" a="1"/>
  <c r="Y9" i="82" a="1"/>
  <c r="B26" i="87" l="1"/>
  <c r="B32" i="87"/>
  <c r="D32" i="87" s="1"/>
  <c r="E9" i="89"/>
  <c r="D9" i="89"/>
  <c r="E12" i="89"/>
  <c r="D12" i="89"/>
  <c r="B25" i="87"/>
  <c r="D25" i="87" s="1"/>
  <c r="D9" i="87"/>
  <c r="D11" i="86"/>
  <c r="D9" i="86"/>
  <c r="D8" i="87"/>
  <c r="C25" i="87" s="1"/>
  <c r="D26" i="87"/>
  <c r="C26" i="87"/>
  <c r="I8" i="86"/>
  <c r="C11" i="86"/>
  <c r="C19" i="86"/>
  <c r="D19" i="86" s="1"/>
  <c r="C10" i="86"/>
  <c r="D18" i="86"/>
  <c r="M10" i="82"/>
  <c r="N10" i="82"/>
  <c r="O10" i="82" s="1"/>
  <c r="Y9" i="82"/>
  <c r="Z9" i="82"/>
  <c r="AA9" i="82" s="1"/>
  <c r="AB9" i="82" s="1"/>
  <c r="AF9" i="82" s="1"/>
  <c r="AC8" i="82"/>
  <c r="X10" i="82"/>
  <c r="D9" i="82"/>
  <c r="L11" i="82"/>
  <c r="P8" i="82"/>
  <c r="T8" i="82" s="1"/>
  <c r="P9" i="82"/>
  <c r="T9" i="82" s="1"/>
  <c r="I9" i="82"/>
  <c r="H9" i="82"/>
  <c r="I8" i="82"/>
  <c r="E13" i="82" s="1"/>
  <c r="H8" i="82"/>
  <c r="D13" i="82" s="1"/>
  <c r="I6" i="82"/>
  <c r="E9" i="82" s="1"/>
  <c r="E15" i="79"/>
  <c r="J6" i="79"/>
  <c r="D15" i="79"/>
  <c r="Y10" i="82" a="1"/>
  <c r="N11" i="82" a="1"/>
  <c r="Z10" i="82" a="1"/>
  <c r="M11" i="82" a="1"/>
  <c r="C9" i="86" a="1"/>
  <c r="D32" i="86" l="1"/>
  <c r="B26" i="86"/>
  <c r="B32" i="86"/>
  <c r="C9" i="86"/>
  <c r="B25" i="86" s="1"/>
  <c r="D26" i="86"/>
  <c r="C26" i="86"/>
  <c r="Z10" i="82"/>
  <c r="Y10" i="82"/>
  <c r="N11" i="82"/>
  <c r="O11" i="82" s="1"/>
  <c r="M11" i="82"/>
  <c r="E10" i="82"/>
  <c r="E11" i="82" s="1"/>
  <c r="AG9" i="82"/>
  <c r="AH9" i="82"/>
  <c r="V8" i="82"/>
  <c r="U8" i="82"/>
  <c r="AC9" i="82"/>
  <c r="U9" i="82"/>
  <c r="V9" i="82"/>
  <c r="AE8" i="82"/>
  <c r="AD8" i="82"/>
  <c r="AH8" i="82"/>
  <c r="AG8" i="82"/>
  <c r="Q9" i="82"/>
  <c r="Q8" i="82"/>
  <c r="AA10" i="82"/>
  <c r="AB10" i="82" s="1"/>
  <c r="X11" i="82"/>
  <c r="D17" i="82"/>
  <c r="D18" i="82" s="1"/>
  <c r="D14" i="82"/>
  <c r="D15" i="82" s="1"/>
  <c r="D10" i="82"/>
  <c r="D11" i="82" s="1"/>
  <c r="E17" i="82"/>
  <c r="E18" i="82" s="1"/>
  <c r="E14" i="82"/>
  <c r="E15" i="82" s="1"/>
  <c r="D6" i="82"/>
  <c r="B36" i="82" s="1"/>
  <c r="L12" i="82"/>
  <c r="P10" i="82"/>
  <c r="T10" i="82" s="1"/>
  <c r="I7" i="82"/>
  <c r="E6" i="82" s="1"/>
  <c r="D7" i="82"/>
  <c r="D8" i="82" s="1"/>
  <c r="D13" i="78"/>
  <c r="D6" i="72"/>
  <c r="D8" i="79" a="1"/>
  <c r="M12" i="82" a="1"/>
  <c r="E11" i="79" a="1"/>
  <c r="E8" i="79" a="1"/>
  <c r="B19" i="79" a="1"/>
  <c r="N12" i="82" a="1"/>
  <c r="Y11" i="82" a="1"/>
  <c r="B18" i="79" a="1"/>
  <c r="E6" i="79" a="1"/>
  <c r="D11" i="79" a="1"/>
  <c r="Z11" i="82" a="1"/>
  <c r="B9" i="86" a="1"/>
  <c r="D6" i="79" a="1"/>
  <c r="B9" i="86" l="1"/>
  <c r="D25" i="86" s="1"/>
  <c r="B37" i="82"/>
  <c r="C25" i="86"/>
  <c r="M12" i="82"/>
  <c r="N12" i="82"/>
  <c r="Y11" i="82"/>
  <c r="Z11" i="82"/>
  <c r="AA11" i="82" s="1"/>
  <c r="AB11" i="82" s="1"/>
  <c r="D31" i="82"/>
  <c r="D33" i="82"/>
  <c r="D32" i="82"/>
  <c r="R8" i="82"/>
  <c r="S8" i="82"/>
  <c r="R9" i="82"/>
  <c r="S9" i="82"/>
  <c r="AF10" i="82"/>
  <c r="AC10" i="82"/>
  <c r="AD9" i="82"/>
  <c r="AE9" i="82"/>
  <c r="U10" i="82"/>
  <c r="V10" i="82"/>
  <c r="Q10" i="82"/>
  <c r="X12" i="82"/>
  <c r="O12" i="82"/>
  <c r="L13" i="82"/>
  <c r="P11" i="82"/>
  <c r="T11" i="82" s="1"/>
  <c r="E7" i="82"/>
  <c r="E8" i="82" s="1"/>
  <c r="B19" i="79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W2" i="72" a="1"/>
  <c r="M13" i="82" a="1"/>
  <c r="N13" i="82" a="1"/>
  <c r="E14" i="79" a="1"/>
  <c r="D10" i="78" a="1"/>
  <c r="D9" i="79" a="1"/>
  <c r="Z12" i="82" a="1"/>
  <c r="E13" i="72" a="1"/>
  <c r="E22" i="72" a="1"/>
  <c r="D12" i="79" a="1"/>
  <c r="E9" i="79" a="1"/>
  <c r="Y12" i="82" a="1"/>
  <c r="M2" i="72" a="1"/>
  <c r="D14" i="79" a="1"/>
  <c r="E12" i="79" a="1"/>
  <c r="E7" i="79" a="1"/>
  <c r="D7" i="79" a="1"/>
  <c r="N13" i="82" l="1"/>
  <c r="M13" i="82"/>
  <c r="Z12" i="82"/>
  <c r="Y12" i="82"/>
  <c r="R10" i="82"/>
  <c r="S10" i="82"/>
  <c r="AE10" i="82"/>
  <c r="AD10" i="82"/>
  <c r="AG10" i="82"/>
  <c r="AH10" i="82"/>
  <c r="V11" i="82"/>
  <c r="U11" i="82"/>
  <c r="AF11" i="82"/>
  <c r="AC11" i="82"/>
  <c r="Q11" i="82"/>
  <c r="AA12" i="82"/>
  <c r="AB12" i="82" s="1"/>
  <c r="X13" i="82"/>
  <c r="O13" i="82"/>
  <c r="L14" i="82"/>
  <c r="P12" i="82"/>
  <c r="T12" i="82" s="1"/>
  <c r="E12" i="79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D9" i="69" a="1"/>
  <c r="B9" i="69" a="1"/>
  <c r="D8" i="69" a="1"/>
  <c r="C10" i="69" a="1"/>
  <c r="D26" i="69" a="1"/>
  <c r="D6" i="69" a="1"/>
  <c r="C26" i="69" a="1"/>
  <c r="B29" i="69" a="1"/>
  <c r="B26" i="69" a="1"/>
  <c r="C12" i="69" a="1"/>
  <c r="D4" i="69" a="1"/>
  <c r="C5" i="69" a="1"/>
  <c r="C19" i="69" a="1"/>
  <c r="C23" i="69" a="1"/>
  <c r="B24" i="69" a="1"/>
  <c r="B22" i="69" a="1"/>
  <c r="D18" i="69" a="1"/>
  <c r="C3" i="69" a="1"/>
  <c r="D7" i="69" a="1"/>
  <c r="C25" i="69" a="1"/>
  <c r="B15" i="69" a="1"/>
  <c r="D17" i="78" a="1"/>
  <c r="C17" i="69" a="1"/>
  <c r="D29" i="69" a="1"/>
  <c r="D21" i="69" a="1"/>
  <c r="B11" i="69" a="1"/>
  <c r="B12" i="69" a="1"/>
  <c r="D24" i="69" a="1"/>
  <c r="Y13" i="82" a="1"/>
  <c r="D19" i="69" a="1"/>
  <c r="C14" i="69" a="1"/>
  <c r="B25" i="69" a="1"/>
  <c r="C16" i="69" a="1"/>
  <c r="B21" i="69" a="1"/>
  <c r="B19" i="69" a="1"/>
  <c r="B14" i="69" a="1"/>
  <c r="D16" i="69" a="1"/>
  <c r="D27" i="69" a="1"/>
  <c r="C4" i="69" a="1"/>
  <c r="B10" i="69" a="1"/>
  <c r="B18" i="69" a="1"/>
  <c r="M14" i="82" a="1"/>
  <c r="B13" i="69" a="1"/>
  <c r="B7" i="69" a="1"/>
  <c r="D25" i="69" a="1"/>
  <c r="D28" i="69" a="1"/>
  <c r="B16" i="69" a="1"/>
  <c r="D14" i="69" a="1"/>
  <c r="C8" i="69" a="1"/>
  <c r="C15" i="69" a="1"/>
  <c r="C7" i="69" a="1"/>
  <c r="C11" i="69" a="1"/>
  <c r="B20" i="69" a="1"/>
  <c r="B6" i="69" a="1"/>
  <c r="B4" i="69" a="1"/>
  <c r="D5" i="69" a="1"/>
  <c r="D20" i="69" a="1"/>
  <c r="B5" i="69" a="1"/>
  <c r="N14" i="82" a="1"/>
  <c r="D15" i="69" a="1"/>
  <c r="B17" i="69" a="1"/>
  <c r="D23" i="69" a="1"/>
  <c r="D17" i="69" a="1"/>
  <c r="C24" i="69" a="1"/>
  <c r="C22" i="69" a="1"/>
  <c r="B8" i="69" a="1"/>
  <c r="D13" i="69" a="1"/>
  <c r="C13" i="69" a="1"/>
  <c r="D22" i="69" a="1"/>
  <c r="B3" i="69" a="1"/>
  <c r="C28" i="69" a="1"/>
  <c r="C6" i="69" a="1"/>
  <c r="D12" i="69" a="1"/>
  <c r="B27" i="69" a="1"/>
  <c r="C20" i="69" a="1"/>
  <c r="B28" i="69" a="1"/>
  <c r="D11" i="69" a="1"/>
  <c r="C9" i="69" a="1"/>
  <c r="C27" i="69" a="1"/>
  <c r="D3" i="69" a="1"/>
  <c r="B23" i="69" a="1"/>
  <c r="D10" i="69" a="1"/>
  <c r="Z13" i="82" a="1"/>
  <c r="C18" i="69" a="1"/>
  <c r="C21" i="69" a="1"/>
  <c r="C29" i="69" a="1"/>
  <c r="M14" i="82" l="1"/>
  <c r="N14" i="82"/>
  <c r="Z13" i="82"/>
  <c r="Y13" i="82"/>
  <c r="AF12" i="82"/>
  <c r="AC12" i="82"/>
  <c r="U12" i="82"/>
  <c r="V12" i="82"/>
  <c r="R11" i="82"/>
  <c r="S11" i="82"/>
  <c r="AG11" i="82"/>
  <c r="AH11" i="82"/>
  <c r="AD11" i="82"/>
  <c r="AE11" i="82"/>
  <c r="Q12" i="82"/>
  <c r="AA13" i="82"/>
  <c r="AB13" i="82" s="1"/>
  <c r="X14" i="82"/>
  <c r="O14" i="82"/>
  <c r="L15" i="82"/>
  <c r="P13" i="82"/>
  <c r="T13" i="82" s="1"/>
  <c r="D17" i="78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N15" i="82" a="1"/>
  <c r="Y14" i="82" a="1"/>
  <c r="M15" i="82" a="1"/>
  <c r="Z14" i="82" a="1"/>
  <c r="J14" i="69" a="1"/>
  <c r="N15" i="82" l="1"/>
  <c r="M15" i="82"/>
  <c r="Y14" i="82"/>
  <c r="Z14" i="82"/>
  <c r="S12" i="82"/>
  <c r="R12" i="82"/>
  <c r="V13" i="82"/>
  <c r="U13" i="82"/>
  <c r="AF13" i="82"/>
  <c r="AC13" i="82"/>
  <c r="AD12" i="82"/>
  <c r="AE12" i="82"/>
  <c r="AG12" i="82"/>
  <c r="AH12" i="82"/>
  <c r="Q13" i="82"/>
  <c r="AA14" i="82"/>
  <c r="AB14" i="82" s="1"/>
  <c r="X15" i="82"/>
  <c r="O15" i="82"/>
  <c r="L16" i="82"/>
  <c r="P14" i="82"/>
  <c r="T14" i="82" s="1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29" i="69" a="1"/>
  <c r="J26" i="69" a="1"/>
  <c r="J27" i="69" a="1"/>
  <c r="N16" i="82" a="1"/>
  <c r="E21" i="72" a="1"/>
  <c r="J18" i="69" a="1"/>
  <c r="J10" i="69" a="1"/>
  <c r="J24" i="69" a="1"/>
  <c r="J3" i="69" a="1"/>
  <c r="J17" i="69" a="1"/>
  <c r="J9" i="69" a="1"/>
  <c r="M16" i="82" a="1"/>
  <c r="E8" i="72" a="1"/>
  <c r="J12" i="69" a="1"/>
  <c r="J5" i="69" a="1"/>
  <c r="E12" i="72" a="1"/>
  <c r="J25" i="69" a="1"/>
  <c r="J15" i="69" a="1"/>
  <c r="J13" i="69" a="1"/>
  <c r="D8" i="72" a="1"/>
  <c r="J11" i="69" a="1"/>
  <c r="J7" i="69" a="1"/>
  <c r="J28" i="69" a="1"/>
  <c r="J16" i="69" a="1"/>
  <c r="D17" i="72" a="1"/>
  <c r="E18" i="72" a="1"/>
  <c r="J22" i="69" a="1"/>
  <c r="J20" i="69" a="1"/>
  <c r="J19" i="69" a="1"/>
  <c r="Y15" i="82" a="1"/>
  <c r="Z15" i="82" a="1"/>
  <c r="J21" i="69" a="1"/>
  <c r="D12" i="72" a="1"/>
  <c r="J4" i="69" a="1"/>
  <c r="J23" i="69" a="1"/>
  <c r="E17" i="72" a="1"/>
  <c r="J8" i="69" a="1"/>
  <c r="J6" i="69" a="1"/>
  <c r="M16" i="82" l="1"/>
  <c r="N16" i="82"/>
  <c r="Z15" i="82"/>
  <c r="Y15" i="82"/>
  <c r="AF14" i="82"/>
  <c r="AC14" i="82"/>
  <c r="R13" i="82"/>
  <c r="S13" i="82"/>
  <c r="AD13" i="82"/>
  <c r="AE13" i="82"/>
  <c r="V14" i="82"/>
  <c r="U14" i="82"/>
  <c r="AH13" i="82"/>
  <c r="AG13" i="82"/>
  <c r="Q14" i="82"/>
  <c r="AA15" i="82"/>
  <c r="AB15" i="82" s="1"/>
  <c r="X16" i="82"/>
  <c r="O16" i="82"/>
  <c r="P15" i="82"/>
  <c r="T15" i="82" s="1"/>
  <c r="L17" i="8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M17" i="82" a="1"/>
  <c r="U5" i="72" a="1"/>
  <c r="Y16" i="82" a="1"/>
  <c r="N17" i="82" a="1"/>
  <c r="W35" i="69" a="1"/>
  <c r="Z16" i="82" a="1"/>
  <c r="Q25" i="69" a="1"/>
  <c r="X5" i="69" a="1"/>
  <c r="Q5" i="69" a="1"/>
  <c r="K5" i="72" a="1"/>
  <c r="O25" i="69" a="1"/>
  <c r="N17" i="82" l="1"/>
  <c r="O17" i="82" s="1"/>
  <c r="M17" i="82"/>
  <c r="Y16" i="82"/>
  <c r="Z16" i="82"/>
  <c r="AA16" i="82" s="1"/>
  <c r="AB16" i="82" s="1"/>
  <c r="K5" i="72"/>
  <c r="AF15" i="82"/>
  <c r="AC15" i="82"/>
  <c r="R14" i="82"/>
  <c r="S14" i="82"/>
  <c r="V15" i="82"/>
  <c r="U15" i="82"/>
  <c r="AD14" i="82"/>
  <c r="AE14" i="82"/>
  <c r="AG14" i="82"/>
  <c r="AH14" i="82"/>
  <c r="Q15" i="82"/>
  <c r="X17" i="82"/>
  <c r="L18" i="82"/>
  <c r="P16" i="82"/>
  <c r="T16" i="82" s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Z17" i="82" a="1"/>
  <c r="Q6" i="69" a="1"/>
  <c r="U6" i="72" a="1"/>
  <c r="N18" i="82" a="1"/>
  <c r="Y17" i="82" a="1"/>
  <c r="X35" i="69" a="1"/>
  <c r="T5" i="72" a="1"/>
  <c r="X6" i="69" a="1"/>
  <c r="K6" i="72" a="1"/>
  <c r="O5" i="69" a="1"/>
  <c r="M18" i="82" a="1"/>
  <c r="V5" i="69" a="1"/>
  <c r="J5" i="72" a="1"/>
  <c r="N18" i="82" l="1"/>
  <c r="M18" i="82"/>
  <c r="Z17" i="82"/>
  <c r="Y17" i="82"/>
  <c r="AF16" i="82"/>
  <c r="AC16" i="82"/>
  <c r="AE15" i="82"/>
  <c r="AD15" i="82"/>
  <c r="AG15" i="82"/>
  <c r="AH15" i="82"/>
  <c r="R15" i="82"/>
  <c r="S15" i="82"/>
  <c r="V16" i="82"/>
  <c r="U16" i="82"/>
  <c r="Q16" i="82"/>
  <c r="AA17" i="82"/>
  <c r="AB17" i="82" s="1"/>
  <c r="X18" i="82"/>
  <c r="O18" i="82"/>
  <c r="L19" i="82"/>
  <c r="P17" i="82"/>
  <c r="T17" i="82" s="1"/>
  <c r="T5" i="72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X7" i="69" a="1"/>
  <c r="Z18" i="82" a="1"/>
  <c r="U7" i="72" a="1"/>
  <c r="K7" i="72" a="1"/>
  <c r="J6" i="72" a="1"/>
  <c r="V6" i="69" a="1"/>
  <c r="V35" i="69" a="1"/>
  <c r="M19" i="82" a="1"/>
  <c r="Q7" i="69" a="1"/>
  <c r="Y18" i="82" a="1"/>
  <c r="T6" i="72" a="1"/>
  <c r="N19" i="82" a="1"/>
  <c r="O6" i="69" a="1"/>
  <c r="N19" i="82" l="1"/>
  <c r="O19" i="82" s="1"/>
  <c r="M19" i="82"/>
  <c r="Y18" i="82"/>
  <c r="Z18" i="82"/>
  <c r="V17" i="82"/>
  <c r="U17" i="82"/>
  <c r="R16" i="82"/>
  <c r="S16" i="82"/>
  <c r="AF17" i="82"/>
  <c r="AC17" i="82"/>
  <c r="AD16" i="82"/>
  <c r="AE16" i="82"/>
  <c r="AH16" i="82"/>
  <c r="AG16" i="82"/>
  <c r="Q17" i="82"/>
  <c r="AA18" i="82"/>
  <c r="AB18" i="82" s="1"/>
  <c r="X19" i="82"/>
  <c r="L20" i="82"/>
  <c r="P18" i="82"/>
  <c r="T18" i="82" s="1"/>
  <c r="Z35" i="69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Y19" i="82" a="1"/>
  <c r="Q8" i="69" a="1"/>
  <c r="O7" i="69" a="1"/>
  <c r="N20" i="82" a="1"/>
  <c r="U8" i="72" a="1"/>
  <c r="X8" i="69" a="1"/>
  <c r="K8" i="72" a="1"/>
  <c r="Z19" i="82" a="1"/>
  <c r="M20" i="82" a="1"/>
  <c r="J7" i="72" a="1"/>
  <c r="V7" i="69" a="1"/>
  <c r="T7" i="72" a="1"/>
  <c r="Y5" i="72" a="1"/>
  <c r="M20" i="82" l="1"/>
  <c r="N20" i="82"/>
  <c r="Y19" i="82"/>
  <c r="Z19" i="82"/>
  <c r="AF18" i="82"/>
  <c r="AC18" i="82"/>
  <c r="V18" i="82"/>
  <c r="U18" i="82"/>
  <c r="R17" i="82"/>
  <c r="S17" i="82"/>
  <c r="AD17" i="82"/>
  <c r="AE17" i="82"/>
  <c r="AH17" i="82"/>
  <c r="AG17" i="82"/>
  <c r="Q18" i="82"/>
  <c r="AA19" i="82"/>
  <c r="AB19" i="82" s="1"/>
  <c r="X20" i="82"/>
  <c r="O20" i="82"/>
  <c r="L21" i="82"/>
  <c r="P19" i="82"/>
  <c r="T19" i="82" s="1"/>
  <c r="Y5" i="72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Q9" i="69" a="1"/>
  <c r="M21" i="82" a="1"/>
  <c r="AA5" i="72" a="1"/>
  <c r="Z20" i="82" a="1"/>
  <c r="O8" i="69" a="1"/>
  <c r="X9" i="69" a="1"/>
  <c r="T8" i="72" a="1"/>
  <c r="Y6" i="72" a="1"/>
  <c r="J8" i="72" a="1"/>
  <c r="Y20" i="82" a="1"/>
  <c r="N21" i="82" a="1"/>
  <c r="V8" i="69" a="1"/>
  <c r="K9" i="72" a="1"/>
  <c r="U9" i="72" a="1"/>
  <c r="M21" i="82" l="1"/>
  <c r="N21" i="82"/>
  <c r="Z20" i="82"/>
  <c r="Y20" i="82"/>
  <c r="U19" i="82"/>
  <c r="V19" i="82"/>
  <c r="AF19" i="82"/>
  <c r="AC19" i="82"/>
  <c r="AD18" i="82"/>
  <c r="AE18" i="82"/>
  <c r="R18" i="82"/>
  <c r="S18" i="82"/>
  <c r="AH18" i="82"/>
  <c r="AG18" i="82"/>
  <c r="Q19" i="82"/>
  <c r="AA20" i="82"/>
  <c r="AB20" i="82" s="1"/>
  <c r="X21" i="82"/>
  <c r="O21" i="82"/>
  <c r="L22" i="82"/>
  <c r="P20" i="82"/>
  <c r="T20" i="82" s="1"/>
  <c r="AA5" i="72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V9" i="69" a="1"/>
  <c r="J9" i="72" a="1"/>
  <c r="T9" i="72" a="1"/>
  <c r="X10" i="69" a="1"/>
  <c r="M22" i="82" a="1"/>
  <c r="Y21" i="82" a="1"/>
  <c r="U10" i="72" a="1"/>
  <c r="Q10" i="69" a="1"/>
  <c r="Y7" i="72" a="1"/>
  <c r="O9" i="69" a="1"/>
  <c r="AA6" i="72" a="1"/>
  <c r="N22" i="82" a="1"/>
  <c r="K10" i="72" a="1"/>
  <c r="Z21" i="82" a="1"/>
  <c r="M22" i="82" l="1"/>
  <c r="N22" i="82"/>
  <c r="Z21" i="82"/>
  <c r="Y21" i="82"/>
  <c r="U20" i="82"/>
  <c r="V20" i="82"/>
  <c r="R19" i="82"/>
  <c r="S19" i="82"/>
  <c r="AD19" i="82"/>
  <c r="AE19" i="82"/>
  <c r="AH19" i="82"/>
  <c r="AG19" i="82"/>
  <c r="AF20" i="82"/>
  <c r="AC20" i="82"/>
  <c r="Q20" i="82"/>
  <c r="AA21" i="82"/>
  <c r="AB21" i="82" s="1"/>
  <c r="X22" i="82"/>
  <c r="O22" i="82"/>
  <c r="L23" i="82"/>
  <c r="P21" i="82"/>
  <c r="T21" i="82" s="1"/>
  <c r="N8" i="72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X11" i="69" a="1"/>
  <c r="M23" i="82" a="1"/>
  <c r="Z22" i="82" a="1"/>
  <c r="AA7" i="72" a="1"/>
  <c r="Q11" i="69" a="1"/>
  <c r="V10" i="69" a="1"/>
  <c r="U11" i="72" a="1"/>
  <c r="J10" i="72" a="1"/>
  <c r="N23" i="82" a="1"/>
  <c r="T10" i="72" a="1"/>
  <c r="Y22" i="82" a="1"/>
  <c r="Y8" i="72" a="1"/>
  <c r="O10" i="69" a="1"/>
  <c r="K11" i="72" a="1"/>
  <c r="N23" i="82" l="1"/>
  <c r="M23" i="82"/>
  <c r="Y22" i="82"/>
  <c r="Z22" i="82"/>
  <c r="U21" i="82"/>
  <c r="V21" i="82"/>
  <c r="AF21" i="82"/>
  <c r="AC21" i="82"/>
  <c r="AH20" i="82"/>
  <c r="AG20" i="82"/>
  <c r="AD20" i="82"/>
  <c r="AE20" i="82"/>
  <c r="S20" i="82"/>
  <c r="R20" i="82"/>
  <c r="Q21" i="82"/>
  <c r="AA22" i="82"/>
  <c r="AB22" i="82" s="1"/>
  <c r="X23" i="82"/>
  <c r="O23" i="82"/>
  <c r="L24" i="82"/>
  <c r="P22" i="82"/>
  <c r="T22" i="82" s="1"/>
  <c r="N9" i="72"/>
  <c r="O9" i="72" s="1"/>
  <c r="AA7" i="72"/>
  <c r="Y8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Y23" i="82" a="1"/>
  <c r="M24" i="82" a="1"/>
  <c r="N24" i="82" a="1"/>
  <c r="T11" i="72" a="1"/>
  <c r="Z23" i="82" a="1"/>
  <c r="AA8" i="72" a="1"/>
  <c r="Q12" i="69" a="1"/>
  <c r="O11" i="69" a="1"/>
  <c r="K12" i="72" a="1"/>
  <c r="X12" i="69" a="1"/>
  <c r="U12" i="72" a="1"/>
  <c r="V11" i="69" a="1"/>
  <c r="J11" i="72" a="1"/>
  <c r="Y9" i="72" a="1"/>
  <c r="N24" i="82" l="1"/>
  <c r="O24" i="82" s="1"/>
  <c r="M24" i="82"/>
  <c r="Z23" i="82"/>
  <c r="Y23" i="82"/>
  <c r="V22" i="82"/>
  <c r="U22" i="82"/>
  <c r="R21" i="82"/>
  <c r="S21" i="82"/>
  <c r="AH21" i="82"/>
  <c r="AG21" i="82"/>
  <c r="AD21" i="82"/>
  <c r="AE21" i="82"/>
  <c r="AF22" i="82"/>
  <c r="AC22" i="82"/>
  <c r="Q22" i="82"/>
  <c r="AA23" i="82"/>
  <c r="AB23" i="82" s="1"/>
  <c r="X24" i="82"/>
  <c r="L25" i="82"/>
  <c r="P23" i="82"/>
  <c r="T23" i="82" s="1"/>
  <c r="Q9" i="72"/>
  <c r="AA8" i="72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Y10" i="72" a="1"/>
  <c r="M25" i="82" a="1"/>
  <c r="U13" i="72" a="1"/>
  <c r="K13" i="72" a="1"/>
  <c r="N25" i="82" a="1"/>
  <c r="Z24" i="82" a="1"/>
  <c r="J12" i="72" a="1"/>
  <c r="O12" i="69" a="1"/>
  <c r="V12" i="69" a="1"/>
  <c r="Y24" i="82" a="1"/>
  <c r="X13" i="69" a="1"/>
  <c r="AA9" i="72" a="1"/>
  <c r="Q13" i="69" a="1"/>
  <c r="T12" i="72" a="1"/>
  <c r="M25" i="82" l="1"/>
  <c r="N25" i="82"/>
  <c r="Y24" i="82"/>
  <c r="Z24" i="82"/>
  <c r="R22" i="82"/>
  <c r="S22" i="82"/>
  <c r="AF23" i="82"/>
  <c r="AC23" i="82"/>
  <c r="AE22" i="82"/>
  <c r="AD22" i="82"/>
  <c r="U23" i="82"/>
  <c r="V23" i="82"/>
  <c r="AH22" i="82"/>
  <c r="AG22" i="82"/>
  <c r="Q23" i="82"/>
  <c r="AA24" i="82"/>
  <c r="AB24" i="82" s="1"/>
  <c r="X25" i="82"/>
  <c r="O25" i="82"/>
  <c r="L26" i="82"/>
  <c r="P24" i="82"/>
  <c r="T24" i="82" s="1"/>
  <c r="Y10" i="72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M26" i="82" a="1"/>
  <c r="Y25" i="82" a="1"/>
  <c r="X14" i="69" a="1"/>
  <c r="K14" i="72" a="1"/>
  <c r="O13" i="69" a="1"/>
  <c r="Y11" i="72" a="1"/>
  <c r="J13" i="72" a="1"/>
  <c r="Z25" i="82" a="1"/>
  <c r="Q14" i="69" a="1"/>
  <c r="T13" i="72" a="1"/>
  <c r="V13" i="69" a="1"/>
  <c r="U14" i="72" a="1"/>
  <c r="AA10" i="72" a="1"/>
  <c r="N26" i="82" a="1"/>
  <c r="M26" i="82" l="1"/>
  <c r="N26" i="82"/>
  <c r="Y25" i="82"/>
  <c r="Z25" i="82"/>
  <c r="R23" i="82"/>
  <c r="S23" i="82"/>
  <c r="U24" i="82"/>
  <c r="V24" i="82"/>
  <c r="AE23" i="82"/>
  <c r="AD23" i="82"/>
  <c r="AF24" i="82"/>
  <c r="AC24" i="82"/>
  <c r="AH23" i="82"/>
  <c r="AG23" i="82"/>
  <c r="Q24" i="82"/>
  <c r="AA25" i="82"/>
  <c r="AB25" i="82" s="1"/>
  <c r="X26" i="82"/>
  <c r="O26" i="82"/>
  <c r="L27" i="82"/>
  <c r="P25" i="82"/>
  <c r="T25" i="82" s="1"/>
  <c r="X12" i="72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Y26" i="82" a="1"/>
  <c r="N27" i="82" a="1"/>
  <c r="Y12" i="72" a="1"/>
  <c r="U15" i="72" a="1"/>
  <c r="Z26" i="82" a="1"/>
  <c r="J14" i="72" a="1"/>
  <c r="X15" i="69" a="1"/>
  <c r="Q15" i="69" a="1"/>
  <c r="AA11" i="72" a="1"/>
  <c r="K15" i="72" a="1"/>
  <c r="O14" i="69" a="1"/>
  <c r="T14" i="72" a="1"/>
  <c r="M27" i="82" a="1"/>
  <c r="V14" i="69" a="1"/>
  <c r="AA12" i="72" a="1"/>
  <c r="N27" i="82" l="1"/>
  <c r="M27" i="82"/>
  <c r="Y26" i="82"/>
  <c r="Z26" i="82"/>
  <c r="U25" i="82"/>
  <c r="V25" i="82"/>
  <c r="R24" i="82"/>
  <c r="S24" i="82"/>
  <c r="AH24" i="82"/>
  <c r="AG24" i="82"/>
  <c r="AF25" i="82"/>
  <c r="AC25" i="82"/>
  <c r="AD24" i="82"/>
  <c r="AE24" i="82"/>
  <c r="Q25" i="82"/>
  <c r="AA26" i="82"/>
  <c r="AB26" i="82" s="1"/>
  <c r="X27" i="82"/>
  <c r="O27" i="82"/>
  <c r="L28" i="82"/>
  <c r="P26" i="82"/>
  <c r="T26" i="82" s="1"/>
  <c r="Y12" i="72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J15" i="72" a="1"/>
  <c r="X16" i="69" a="1"/>
  <c r="U16" i="72" a="1"/>
  <c r="Y27" i="82" a="1"/>
  <c r="Y13" i="72" a="1"/>
  <c r="Z27" i="82" a="1"/>
  <c r="V15" i="69" a="1"/>
  <c r="Q16" i="69" a="1"/>
  <c r="O15" i="69" a="1"/>
  <c r="N28" i="82" a="1"/>
  <c r="M28" i="82" a="1"/>
  <c r="T15" i="72" a="1"/>
  <c r="K16" i="72" a="1"/>
  <c r="N28" i="82" l="1"/>
  <c r="M28" i="82"/>
  <c r="Z27" i="82"/>
  <c r="AA27" i="82" s="1"/>
  <c r="AB27" i="82" s="1"/>
  <c r="Y27" i="82"/>
  <c r="AH25" i="82"/>
  <c r="AG25" i="82"/>
  <c r="AF26" i="82"/>
  <c r="AC26" i="82"/>
  <c r="Q13" i="72"/>
  <c r="R25" i="82"/>
  <c r="S25" i="82"/>
  <c r="U26" i="82"/>
  <c r="V26" i="82"/>
  <c r="AD25" i="82"/>
  <c r="AE25" i="82"/>
  <c r="Q26" i="82"/>
  <c r="X28" i="82"/>
  <c r="O28" i="82"/>
  <c r="L29" i="82"/>
  <c r="P27" i="82"/>
  <c r="T27" i="82" s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N29" i="82" a="1"/>
  <c r="Q17" i="69" a="1"/>
  <c r="X17" i="69" a="1"/>
  <c r="M29" i="82" a="1"/>
  <c r="AA13" i="72" a="1"/>
  <c r="U17" i="72" a="1"/>
  <c r="Z28" i="82" a="1"/>
  <c r="K17" i="72" a="1"/>
  <c r="T16" i="72" a="1"/>
  <c r="O16" i="69" a="1"/>
  <c r="Y28" i="82" a="1"/>
  <c r="V16" i="69" a="1"/>
  <c r="J16" i="72" a="1"/>
  <c r="Y14" i="72" a="1"/>
  <c r="N29" i="82" l="1"/>
  <c r="M29" i="82"/>
  <c r="Y28" i="82"/>
  <c r="Z28" i="82"/>
  <c r="R26" i="82"/>
  <c r="S26" i="82"/>
  <c r="AH26" i="82"/>
  <c r="AG26" i="82"/>
  <c r="AF27" i="82"/>
  <c r="AC27" i="82"/>
  <c r="AD26" i="82"/>
  <c r="AE26" i="82"/>
  <c r="V27" i="82"/>
  <c r="U27" i="82"/>
  <c r="Q27" i="82"/>
  <c r="AA28" i="82"/>
  <c r="AB28" i="82" s="1"/>
  <c r="X29" i="82"/>
  <c r="O29" i="82"/>
  <c r="L30" i="82"/>
  <c r="P28" i="82"/>
  <c r="T28" i="82" s="1"/>
  <c r="Y14" i="72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M30" i="82" a="1"/>
  <c r="X18" i="69" a="1"/>
  <c r="Q18" i="69" a="1"/>
  <c r="T17" i="72" a="1"/>
  <c r="N30" i="82" a="1"/>
  <c r="O17" i="69" a="1"/>
  <c r="Y15" i="72" a="1"/>
  <c r="J17" i="72" a="1"/>
  <c r="Y29" i="82" a="1"/>
  <c r="U18" i="72" a="1"/>
  <c r="Z29" i="82" a="1"/>
  <c r="K18" i="72" a="1"/>
  <c r="V17" i="69" a="1"/>
  <c r="AA14" i="72" a="1"/>
  <c r="M30" i="82" l="1"/>
  <c r="N30" i="82"/>
  <c r="Y29" i="82"/>
  <c r="Z29" i="82"/>
  <c r="AD27" i="82"/>
  <c r="AE27" i="82"/>
  <c r="U28" i="82"/>
  <c r="V28" i="82"/>
  <c r="AF28" i="82"/>
  <c r="AC28" i="82"/>
  <c r="R27" i="82"/>
  <c r="S27" i="82"/>
  <c r="AH27" i="82"/>
  <c r="AG27" i="82"/>
  <c r="Q28" i="82"/>
  <c r="AA29" i="82"/>
  <c r="AB29" i="82" s="1"/>
  <c r="X30" i="82"/>
  <c r="O30" i="82"/>
  <c r="L31" i="82"/>
  <c r="P29" i="82"/>
  <c r="T29" i="82" s="1"/>
  <c r="AA14" i="72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T18" i="72" a="1"/>
  <c r="Y30" i="82" a="1"/>
  <c r="M31" i="82" a="1"/>
  <c r="K19" i="72" a="1"/>
  <c r="AA15" i="72" a="1"/>
  <c r="Q19" i="69" a="1"/>
  <c r="Z30" i="82" a="1"/>
  <c r="N31" i="82" a="1"/>
  <c r="J18" i="72" a="1"/>
  <c r="O18" i="69" a="1"/>
  <c r="Y16" i="72" a="1"/>
  <c r="V18" i="69" a="1"/>
  <c r="X19" i="69" a="1"/>
  <c r="U19" i="72" a="1"/>
  <c r="N31" i="82" l="1"/>
  <c r="M31" i="82"/>
  <c r="Y30" i="82"/>
  <c r="Z30" i="82"/>
  <c r="U29" i="82"/>
  <c r="V29" i="82"/>
  <c r="S28" i="82"/>
  <c r="R28" i="82"/>
  <c r="AG28" i="82"/>
  <c r="AH28" i="82"/>
  <c r="AF29" i="82"/>
  <c r="AC29" i="82"/>
  <c r="AD28" i="82"/>
  <c r="AE28" i="82"/>
  <c r="Q29" i="82"/>
  <c r="AA30" i="82"/>
  <c r="AB30" i="82" s="1"/>
  <c r="X31" i="82"/>
  <c r="O31" i="82"/>
  <c r="L32" i="82"/>
  <c r="P30" i="82"/>
  <c r="T30" i="82" s="1"/>
  <c r="Y16" i="72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Z31" i="82" a="1"/>
  <c r="X20" i="69" a="1"/>
  <c r="K20" i="72" a="1"/>
  <c r="Y17" i="72" a="1"/>
  <c r="V19" i="69" a="1"/>
  <c r="Q20" i="69" a="1"/>
  <c r="O19" i="69" a="1"/>
  <c r="U20" i="72" a="1"/>
  <c r="M32" i="82" a="1"/>
  <c r="AA16" i="72" a="1"/>
  <c r="Y31" i="82" a="1"/>
  <c r="T19" i="72" a="1"/>
  <c r="J19" i="72" a="1"/>
  <c r="N32" i="82" a="1"/>
  <c r="M32" i="82" l="1"/>
  <c r="N32" i="82"/>
  <c r="Y31" i="82"/>
  <c r="Z31" i="82"/>
  <c r="U30" i="82"/>
  <c r="V30" i="82"/>
  <c r="AH29" i="82"/>
  <c r="AG29" i="82"/>
  <c r="AD29" i="82"/>
  <c r="AE29" i="82"/>
  <c r="AF30" i="82"/>
  <c r="AC30" i="82"/>
  <c r="R29" i="82"/>
  <c r="S29" i="82"/>
  <c r="Q30" i="82"/>
  <c r="AA31" i="82"/>
  <c r="AB31" i="82" s="1"/>
  <c r="X32" i="82"/>
  <c r="O32" i="82"/>
  <c r="L33" i="82"/>
  <c r="P31" i="82"/>
  <c r="T31" i="82" s="1"/>
  <c r="Y17" i="72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Y18" i="72" a="1"/>
  <c r="Q21" i="69" a="1"/>
  <c r="X21" i="69" a="1"/>
  <c r="K21" i="72" a="1"/>
  <c r="Z32" i="82" a="1"/>
  <c r="Y32" i="82" a="1"/>
  <c r="AA17" i="72" a="1"/>
  <c r="N33" i="82" a="1"/>
  <c r="V20" i="69" a="1"/>
  <c r="M33" i="82" a="1"/>
  <c r="J20" i="72" a="1"/>
  <c r="O20" i="69" a="1"/>
  <c r="U21" i="72" a="1"/>
  <c r="T20" i="72" a="1"/>
  <c r="N33" i="82" l="1"/>
  <c r="M33" i="82"/>
  <c r="Y32" i="82"/>
  <c r="Z32" i="82"/>
  <c r="AD30" i="82"/>
  <c r="AE30" i="82"/>
  <c r="U31" i="82"/>
  <c r="V31" i="82"/>
  <c r="AH30" i="82"/>
  <c r="AG30" i="82"/>
  <c r="AF31" i="82"/>
  <c r="AC31" i="82"/>
  <c r="R30" i="82"/>
  <c r="S30" i="82"/>
  <c r="Q31" i="82"/>
  <c r="AA32" i="82"/>
  <c r="AB32" i="82" s="1"/>
  <c r="X33" i="82"/>
  <c r="O33" i="82"/>
  <c r="L34" i="82"/>
  <c r="P32" i="82"/>
  <c r="T32" i="82" s="1"/>
  <c r="AA17" i="72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O21" i="69" a="1"/>
  <c r="Q22" i="69" a="1"/>
  <c r="J21" i="72" a="1"/>
  <c r="Z33" i="82" a="1"/>
  <c r="Y33" i="82" a="1"/>
  <c r="AA18" i="72" a="1"/>
  <c r="U22" i="72" a="1"/>
  <c r="K22" i="72" a="1"/>
  <c r="X22" i="69" a="1"/>
  <c r="Y19" i="72" a="1"/>
  <c r="N34" i="82" a="1"/>
  <c r="M34" i="82" a="1"/>
  <c r="T21" i="72" a="1"/>
  <c r="V21" i="69" a="1"/>
  <c r="M34" i="82" l="1"/>
  <c r="N34" i="82"/>
  <c r="Z33" i="82"/>
  <c r="Y33" i="82"/>
  <c r="U32" i="82"/>
  <c r="V32" i="82"/>
  <c r="AF32" i="82"/>
  <c r="AC32" i="82"/>
  <c r="AE31" i="82"/>
  <c r="AD31" i="82"/>
  <c r="R31" i="82"/>
  <c r="S31" i="82"/>
  <c r="AG31" i="82"/>
  <c r="AH31" i="82"/>
  <c r="Q32" i="82"/>
  <c r="AA33" i="82"/>
  <c r="AB33" i="82" s="1"/>
  <c r="X34" i="82"/>
  <c r="O34" i="82"/>
  <c r="L35" i="82"/>
  <c r="P33" i="82"/>
  <c r="T33" i="82" s="1"/>
  <c r="Y19" i="72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J22" i="72" a="1"/>
  <c r="Y20" i="72" a="1"/>
  <c r="Z34" i="82" a="1"/>
  <c r="M35" i="82" a="1"/>
  <c r="AA19" i="72" a="1"/>
  <c r="X23" i="69" a="1"/>
  <c r="U23" i="72" a="1"/>
  <c r="Y34" i="82" a="1"/>
  <c r="T22" i="72" a="1"/>
  <c r="N35" i="82" a="1"/>
  <c r="Q23" i="69" a="1"/>
  <c r="O22" i="69" a="1"/>
  <c r="K23" i="72" a="1"/>
  <c r="V22" i="69" a="1"/>
  <c r="N35" i="82" l="1"/>
  <c r="O35" i="82" s="1"/>
  <c r="M35" i="82"/>
  <c r="Z34" i="82"/>
  <c r="Y34" i="82"/>
  <c r="AF33" i="82"/>
  <c r="AC33" i="82"/>
  <c r="R32" i="82"/>
  <c r="S32" i="82"/>
  <c r="AD32" i="82"/>
  <c r="AE32" i="82"/>
  <c r="AH32" i="82"/>
  <c r="AG32" i="82"/>
  <c r="U33" i="82"/>
  <c r="V33" i="82"/>
  <c r="Q33" i="82"/>
  <c r="AA34" i="82"/>
  <c r="AB34" i="82" s="1"/>
  <c r="X35" i="82"/>
  <c r="L36" i="82"/>
  <c r="P34" i="82"/>
  <c r="T34" i="82" s="1"/>
  <c r="Y20" i="72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Z35" i="82" a="1"/>
  <c r="O23" i="69" a="1"/>
  <c r="M36" i="82" a="1"/>
  <c r="U24" i="72" a="1"/>
  <c r="AA20" i="72" a="1"/>
  <c r="N36" i="82" a="1"/>
  <c r="J23" i="72" a="1"/>
  <c r="Q24" i="69" a="1"/>
  <c r="T23" i="72" a="1"/>
  <c r="Y21" i="72" a="1"/>
  <c r="K24" i="72" a="1"/>
  <c r="Y35" i="82" a="1"/>
  <c r="V23" i="69" a="1"/>
  <c r="X24" i="69" a="1"/>
  <c r="N36" i="82" l="1"/>
  <c r="M36" i="82"/>
  <c r="Z35" i="82"/>
  <c r="Y35" i="82"/>
  <c r="AF34" i="82"/>
  <c r="AC34" i="82"/>
  <c r="V34" i="82"/>
  <c r="U34" i="82"/>
  <c r="R33" i="82"/>
  <c r="S33" i="82"/>
  <c r="AD33" i="82"/>
  <c r="AE33" i="82"/>
  <c r="AH33" i="82"/>
  <c r="AG33" i="82"/>
  <c r="Q34" i="82"/>
  <c r="AA35" i="82"/>
  <c r="AB35" i="82" s="1"/>
  <c r="X36" i="82"/>
  <c r="O36" i="82"/>
  <c r="L37" i="82"/>
  <c r="P35" i="82"/>
  <c r="T35" i="82" s="1"/>
  <c r="Y21" i="72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Y22" i="72" a="1"/>
  <c r="V24" i="69" a="1"/>
  <c r="N37" i="82" a="1"/>
  <c r="Y36" i="82" a="1"/>
  <c r="M37" i="82" a="1"/>
  <c r="U25" i="72" a="1"/>
  <c r="AA21" i="72" a="1"/>
  <c r="T24" i="72" a="1"/>
  <c r="X25" i="69" a="1"/>
  <c r="J24" i="72" a="1"/>
  <c r="O24" i="69" a="1"/>
  <c r="Z36" i="82" a="1"/>
  <c r="K25" i="72" a="1"/>
  <c r="M37" i="82" l="1"/>
  <c r="N37" i="82"/>
  <c r="Y36" i="82"/>
  <c r="Z36" i="82"/>
  <c r="V35" i="82"/>
  <c r="U35" i="82"/>
  <c r="R34" i="82"/>
  <c r="S34" i="82"/>
  <c r="AF35" i="82"/>
  <c r="AC35" i="82"/>
  <c r="AE34" i="82"/>
  <c r="AD34" i="82"/>
  <c r="AH34" i="82"/>
  <c r="AG34" i="82"/>
  <c r="Q35" i="82"/>
  <c r="AA36" i="82"/>
  <c r="AB36" i="82" s="1"/>
  <c r="X37" i="82"/>
  <c r="O37" i="82"/>
  <c r="L38" i="82"/>
  <c r="P36" i="82"/>
  <c r="T36" i="82" s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U26" i="72" a="1"/>
  <c r="M38" i="82" a="1"/>
  <c r="Z37" i="82" a="1"/>
  <c r="Y23" i="72" a="1"/>
  <c r="K26" i="72" a="1"/>
  <c r="Y37" i="82" a="1"/>
  <c r="T25" i="72" a="1"/>
  <c r="N38" i="82" a="1"/>
  <c r="J25" i="72" a="1"/>
  <c r="X26" i="69" a="1"/>
  <c r="V25" i="69" a="1"/>
  <c r="AA22" i="72" a="1"/>
  <c r="N38" i="82" l="1"/>
  <c r="O38" i="82" s="1"/>
  <c r="M38" i="82"/>
  <c r="Z37" i="82"/>
  <c r="Y37" i="82"/>
  <c r="AF36" i="82"/>
  <c r="AC36" i="82"/>
  <c r="U36" i="82"/>
  <c r="V36" i="82"/>
  <c r="R35" i="82"/>
  <c r="S35" i="82"/>
  <c r="AD35" i="82"/>
  <c r="AE35" i="82"/>
  <c r="AG35" i="82"/>
  <c r="AH35" i="82"/>
  <c r="Q36" i="82"/>
  <c r="AA37" i="82"/>
  <c r="AB37" i="82" s="1"/>
  <c r="X38" i="82"/>
  <c r="L39" i="82"/>
  <c r="P37" i="82"/>
  <c r="T37" i="82" s="1"/>
  <c r="Y23" i="72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T26" i="72" a="1"/>
  <c r="J26" i="72" a="1"/>
  <c r="M39" i="82" a="1"/>
  <c r="Y24" i="72" a="1"/>
  <c r="X27" i="69" a="1"/>
  <c r="Y38" i="82" a="1"/>
  <c r="N39" i="82" a="1"/>
  <c r="K27" i="72" a="1"/>
  <c r="Z38" i="82" a="1"/>
  <c r="U27" i="72" a="1"/>
  <c r="V26" i="69" a="1"/>
  <c r="AA23" i="72" a="1"/>
  <c r="N39" i="82" l="1"/>
  <c r="M39" i="82"/>
  <c r="Z38" i="82"/>
  <c r="Y38" i="82"/>
  <c r="S36" i="82"/>
  <c r="R36" i="82"/>
  <c r="U37" i="82"/>
  <c r="V37" i="82"/>
  <c r="AF37" i="82"/>
  <c r="AC37" i="82"/>
  <c r="AD36" i="82"/>
  <c r="AE36" i="82"/>
  <c r="AG36" i="82"/>
  <c r="AH36" i="82"/>
  <c r="Q37" i="82"/>
  <c r="AA38" i="82"/>
  <c r="AB38" i="82" s="1"/>
  <c r="X39" i="82"/>
  <c r="O39" i="82"/>
  <c r="L40" i="82"/>
  <c r="P38" i="82"/>
  <c r="T38" i="82" s="1"/>
  <c r="AA23" i="72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V27" i="69" a="1"/>
  <c r="T27" i="72" a="1"/>
  <c r="U28" i="72" a="1"/>
  <c r="K28" i="72" a="1"/>
  <c r="Z39" i="82" a="1"/>
  <c r="M40" i="82" a="1"/>
  <c r="X28" i="69" a="1"/>
  <c r="J27" i="72" a="1"/>
  <c r="AA24" i="72" a="1"/>
  <c r="N40" i="82" a="1"/>
  <c r="Y25" i="72" a="1"/>
  <c r="Y39" i="82" a="1"/>
  <c r="M40" i="82" l="1"/>
  <c r="N40" i="82"/>
  <c r="Z39" i="82"/>
  <c r="Y39" i="82"/>
  <c r="AH37" i="82"/>
  <c r="AG37" i="82"/>
  <c r="V38" i="82"/>
  <c r="U38" i="82"/>
  <c r="AF38" i="82"/>
  <c r="AC38" i="82"/>
  <c r="R37" i="82"/>
  <c r="S37" i="82"/>
  <c r="AD37" i="82"/>
  <c r="AE37" i="82"/>
  <c r="Q38" i="82"/>
  <c r="AA39" i="82"/>
  <c r="AB39" i="82" s="1"/>
  <c r="X40" i="82"/>
  <c r="O40" i="82"/>
  <c r="L41" i="82"/>
  <c r="P39" i="82"/>
  <c r="T39" i="82" s="1"/>
  <c r="AA24" i="72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J28" i="72" a="1"/>
  <c r="Z40" i="82" a="1"/>
  <c r="K29" i="72" a="1"/>
  <c r="N41" i="82" a="1"/>
  <c r="AA25" i="72" a="1"/>
  <c r="F7" i="78" a="1"/>
  <c r="T28" i="72" a="1"/>
  <c r="Y40" i="82" a="1"/>
  <c r="Y26" i="72" a="1"/>
  <c r="U29" i="72" a="1"/>
  <c r="V28" i="69" a="1"/>
  <c r="M41" i="82" a="1"/>
  <c r="X29" i="69" a="1"/>
  <c r="N41" i="82" l="1"/>
  <c r="M41" i="82"/>
  <c r="Y40" i="82"/>
  <c r="Z40" i="82"/>
  <c r="R38" i="82"/>
  <c r="S38" i="82"/>
  <c r="AD38" i="82"/>
  <c r="AE38" i="82"/>
  <c r="U39" i="82"/>
  <c r="V39" i="82"/>
  <c r="AF39" i="82"/>
  <c r="AC39" i="82"/>
  <c r="AH38" i="82"/>
  <c r="AG38" i="82"/>
  <c r="Q39" i="82"/>
  <c r="AA40" i="82"/>
  <c r="AB40" i="82" s="1"/>
  <c r="X41" i="82"/>
  <c r="O41" i="82"/>
  <c r="L42" i="82"/>
  <c r="P40" i="82"/>
  <c r="T40" i="82" s="1"/>
  <c r="F7" i="78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T29" i="72" a="1"/>
  <c r="J29" i="72" a="1"/>
  <c r="N42" i="82" a="1"/>
  <c r="V29" i="69" a="1"/>
  <c r="Z41" i="82" a="1"/>
  <c r="X30" i="69" a="1"/>
  <c r="K30" i="72" a="1"/>
  <c r="Y41" i="82" a="1"/>
  <c r="Y27" i="72" a="1"/>
  <c r="M42" i="82" a="1"/>
  <c r="AA26" i="72" a="1"/>
  <c r="U30" i="72" a="1"/>
  <c r="N42" i="82" l="1"/>
  <c r="M42" i="82"/>
  <c r="Y41" i="82"/>
  <c r="Z41" i="82"/>
  <c r="AE39" i="82"/>
  <c r="AD39" i="82"/>
  <c r="R39" i="82"/>
  <c r="S39" i="82"/>
  <c r="AH39" i="82"/>
  <c r="AG39" i="82"/>
  <c r="AF40" i="82"/>
  <c r="AC40" i="82"/>
  <c r="U40" i="82"/>
  <c r="V40" i="82"/>
  <c r="Q40" i="82"/>
  <c r="AA41" i="82"/>
  <c r="AB41" i="82" s="1"/>
  <c r="X42" i="82"/>
  <c r="O42" i="82"/>
  <c r="L43" i="82"/>
  <c r="P41" i="82"/>
  <c r="T41" i="82" s="1"/>
  <c r="X28" i="72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Y42" i="82" a="1"/>
  <c r="AA27" i="72" a="1"/>
  <c r="V30" i="69" a="1"/>
  <c r="T30" i="72" a="1"/>
  <c r="X31" i="69" a="1"/>
  <c r="Y28" i="72" a="1"/>
  <c r="N43" i="82" a="1"/>
  <c r="M43" i="82" a="1"/>
  <c r="Z42" i="82" a="1"/>
  <c r="J30" i="72" a="1"/>
  <c r="U31" i="72" a="1"/>
  <c r="K31" i="72" a="1"/>
  <c r="AA28" i="72" a="1"/>
  <c r="N43" i="82" l="1"/>
  <c r="O43" i="82" s="1"/>
  <c r="M43" i="82"/>
  <c r="Y42" i="82"/>
  <c r="Z42" i="82"/>
  <c r="AF41" i="82"/>
  <c r="AC41" i="82"/>
  <c r="AD40" i="82"/>
  <c r="AE40" i="82"/>
  <c r="R40" i="82"/>
  <c r="S40" i="82"/>
  <c r="V41" i="82"/>
  <c r="U41" i="82"/>
  <c r="AH40" i="82"/>
  <c r="AG40" i="82"/>
  <c r="Q41" i="82"/>
  <c r="AA42" i="82"/>
  <c r="AB42" i="82" s="1"/>
  <c r="X43" i="82"/>
  <c r="L44" i="82"/>
  <c r="P42" i="82"/>
  <c r="T42" i="82" s="1"/>
  <c r="Y28" i="72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Z43" i="82" a="1"/>
  <c r="T31" i="72" a="1"/>
  <c r="X32" i="69" a="1"/>
  <c r="M44" i="82" a="1"/>
  <c r="K32" i="72" a="1"/>
  <c r="N44" i="82" a="1"/>
  <c r="J31" i="72" a="1"/>
  <c r="Y29" i="72" a="1"/>
  <c r="V31" i="69" a="1"/>
  <c r="Y43" i="82" a="1"/>
  <c r="U32" i="72" a="1"/>
  <c r="AA29" i="72" a="1"/>
  <c r="N44" i="82" l="1"/>
  <c r="M44" i="82"/>
  <c r="Y43" i="82"/>
  <c r="Z43" i="82"/>
  <c r="V42" i="82"/>
  <c r="U42" i="82"/>
  <c r="AF42" i="82"/>
  <c r="AC42" i="82"/>
  <c r="AD41" i="82"/>
  <c r="AE41" i="82"/>
  <c r="R41" i="82"/>
  <c r="S41" i="82"/>
  <c r="AG41" i="82"/>
  <c r="AH41" i="82"/>
  <c r="Q42" i="82"/>
  <c r="AA43" i="82"/>
  <c r="AB43" i="82" s="1"/>
  <c r="X44" i="82"/>
  <c r="O44" i="82"/>
  <c r="L45" i="82"/>
  <c r="P43" i="82"/>
  <c r="T43" i="82" s="1"/>
  <c r="Y29" i="72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Z44" i="82" a="1"/>
  <c r="T32" i="72" a="1"/>
  <c r="N45" i="82" a="1"/>
  <c r="Y30" i="72" a="1"/>
  <c r="U33" i="72" a="1"/>
  <c r="J32" i="72" a="1"/>
  <c r="Y44" i="82" a="1"/>
  <c r="M45" i="82" a="1"/>
  <c r="V32" i="69" a="1"/>
  <c r="X33" i="69" a="1"/>
  <c r="K33" i="72" a="1"/>
  <c r="N45" i="82" l="1"/>
  <c r="M45" i="82"/>
  <c r="Y44" i="82"/>
  <c r="Z44" i="82"/>
  <c r="AA44" i="82" s="1"/>
  <c r="AB44" i="82" s="1"/>
  <c r="U43" i="82"/>
  <c r="V43" i="82"/>
  <c r="AF43" i="82"/>
  <c r="AC43" i="82"/>
  <c r="AD42" i="82"/>
  <c r="AE42" i="82"/>
  <c r="AG42" i="82"/>
  <c r="AH42" i="82"/>
  <c r="R42" i="82"/>
  <c r="S42" i="82"/>
  <c r="X31" i="72"/>
  <c r="Q43" i="82"/>
  <c r="X45" i="82"/>
  <c r="O45" i="82"/>
  <c r="L46" i="82"/>
  <c r="P44" i="82"/>
  <c r="T44" i="82" s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Y31" i="72" a="1"/>
  <c r="K34" i="72" a="1"/>
  <c r="T33" i="72" a="1"/>
  <c r="Z45" i="82" a="1"/>
  <c r="Y45" i="82" a="1"/>
  <c r="V33" i="69" a="1"/>
  <c r="J33" i="72" a="1"/>
  <c r="N46" i="82" a="1"/>
  <c r="M46" i="82" a="1"/>
  <c r="AA30" i="72" a="1"/>
  <c r="U34" i="72" a="1"/>
  <c r="X34" i="69" a="1"/>
  <c r="Z45" i="82" l="1"/>
  <c r="Y45" i="82"/>
  <c r="N46" i="82"/>
  <c r="M46" i="82"/>
  <c r="Y31" i="72"/>
  <c r="AF44" i="82"/>
  <c r="AC44" i="82"/>
  <c r="AD43" i="82"/>
  <c r="AE43" i="82"/>
  <c r="AH43" i="82"/>
  <c r="AG43" i="82"/>
  <c r="R43" i="82"/>
  <c r="S43" i="82"/>
  <c r="V44" i="82"/>
  <c r="U44" i="82"/>
  <c r="Q44" i="82"/>
  <c r="AA45" i="82"/>
  <c r="AB45" i="82" s="1"/>
  <c r="X46" i="82"/>
  <c r="O46" i="82"/>
  <c r="L47" i="82"/>
  <c r="P45" i="82"/>
  <c r="T45" i="82" s="1"/>
  <c r="AA30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U35" i="72" a="1"/>
  <c r="T34" i="72" a="1"/>
  <c r="Z46" i="82" a="1"/>
  <c r="Y46" i="82" a="1"/>
  <c r="Y32" i="72" a="1"/>
  <c r="K35" i="72" a="1"/>
  <c r="J34" i="72" a="1"/>
  <c r="V34" i="69" a="1"/>
  <c r="N47" i="82" a="1"/>
  <c r="AA31" i="72" a="1"/>
  <c r="M47" i="82" a="1"/>
  <c r="N47" i="82" l="1"/>
  <c r="M47" i="82"/>
  <c r="Z46" i="82"/>
  <c r="AA46" i="82" s="1"/>
  <c r="AB46" i="82" s="1"/>
  <c r="Y46" i="82"/>
  <c r="AA31" i="72"/>
  <c r="AF45" i="82"/>
  <c r="AC45" i="82"/>
  <c r="S44" i="82"/>
  <c r="R44" i="82"/>
  <c r="AD44" i="82"/>
  <c r="AE44" i="82"/>
  <c r="AG44" i="82"/>
  <c r="AH44" i="82"/>
  <c r="V45" i="82"/>
  <c r="U45" i="82"/>
  <c r="Q45" i="82"/>
  <c r="X47" i="82"/>
  <c r="O47" i="82"/>
  <c r="L48" i="82"/>
  <c r="P46" i="82"/>
  <c r="T46" i="82" s="1"/>
  <c r="Y32" i="72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AA32" i="72" a="1"/>
  <c r="J35" i="72" a="1"/>
  <c r="N48" i="82" a="1"/>
  <c r="T35" i="72" a="1"/>
  <c r="K36" i="72" a="1"/>
  <c r="Y33" i="72" a="1"/>
  <c r="Z47" i="82" a="1"/>
  <c r="U36" i="72" a="1"/>
  <c r="Y47" i="82" a="1"/>
  <c r="M48" i="82" a="1"/>
  <c r="M48" i="82" l="1"/>
  <c r="N48" i="82"/>
  <c r="Z47" i="82"/>
  <c r="Y47" i="82"/>
  <c r="R45" i="82"/>
  <c r="S45" i="82"/>
  <c r="AD45" i="82"/>
  <c r="AE45" i="82"/>
  <c r="AG45" i="82"/>
  <c r="AH45" i="82"/>
  <c r="AF46" i="82"/>
  <c r="AC46" i="82"/>
  <c r="U46" i="82"/>
  <c r="V46" i="82"/>
  <c r="Q46" i="82"/>
  <c r="AA47" i="82"/>
  <c r="AB47" i="82" s="1"/>
  <c r="X48" i="82"/>
  <c r="O48" i="82"/>
  <c r="L49" i="82"/>
  <c r="P47" i="82"/>
  <c r="T47" i="82" s="1"/>
  <c r="Y33" i="72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U37" i="72" a="1"/>
  <c r="J36" i="72" a="1"/>
  <c r="K37" i="72" a="1"/>
  <c r="AA33" i="72" a="1"/>
  <c r="Y48" i="82" a="1"/>
  <c r="Y34" i="72" a="1"/>
  <c r="T36" i="72" a="1"/>
  <c r="N49" i="82" a="1"/>
  <c r="M49" i="82" a="1"/>
  <c r="Z48" i="82" a="1"/>
  <c r="M49" i="82" l="1"/>
  <c r="N49" i="82"/>
  <c r="Z48" i="82"/>
  <c r="Y48" i="82"/>
  <c r="U47" i="82"/>
  <c r="V47" i="82"/>
  <c r="R46" i="82"/>
  <c r="S46" i="82"/>
  <c r="AF47" i="82"/>
  <c r="AC47" i="82"/>
  <c r="AD46" i="82"/>
  <c r="AE46" i="82"/>
  <c r="AG46" i="82"/>
  <c r="AH46" i="82"/>
  <c r="Q47" i="82"/>
  <c r="AA48" i="82"/>
  <c r="AB48" i="82" s="1"/>
  <c r="X49" i="82"/>
  <c r="O49" i="82"/>
  <c r="L50" i="82"/>
  <c r="P48" i="82"/>
  <c r="T48" i="82" s="1"/>
  <c r="AA33" i="72"/>
  <c r="Y34" i="72"/>
  <c r="N35" i="72"/>
  <c r="Q35" i="72" s="1"/>
  <c r="O34" i="72"/>
  <c r="Q34" i="72"/>
  <c r="O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Y49" i="82" a="1"/>
  <c r="N50" i="82" a="1"/>
  <c r="Z49" i="82" a="1"/>
  <c r="J37" i="72" a="1"/>
  <c r="K38" i="72" a="1"/>
  <c r="M50" i="82" a="1"/>
  <c r="Y35" i="72" a="1"/>
  <c r="U38" i="72" a="1"/>
  <c r="T37" i="72" a="1"/>
  <c r="AA34" i="72" a="1"/>
  <c r="M50" i="82" l="1"/>
  <c r="N50" i="82"/>
  <c r="Y49" i="82"/>
  <c r="Z49" i="82"/>
  <c r="U48" i="82"/>
  <c r="V48" i="82"/>
  <c r="R47" i="82"/>
  <c r="S47" i="82"/>
  <c r="AE47" i="82"/>
  <c r="AD47" i="82"/>
  <c r="AG47" i="82"/>
  <c r="AH47" i="82"/>
  <c r="AF48" i="82"/>
  <c r="AC48" i="82"/>
  <c r="Q48" i="82"/>
  <c r="AA49" i="82"/>
  <c r="AB49" i="82" s="1"/>
  <c r="X50" i="82"/>
  <c r="O50" i="82"/>
  <c r="L51" i="82"/>
  <c r="P49" i="82"/>
  <c r="T49" i="82" s="1"/>
  <c r="AA34" i="72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N51" i="82" a="1"/>
  <c r="J38" i="72" a="1"/>
  <c r="AA35" i="72" a="1"/>
  <c r="Z50" i="82" a="1"/>
  <c r="Y36" i="72" a="1"/>
  <c r="U39" i="72" a="1"/>
  <c r="Y50" i="82" a="1"/>
  <c r="T38" i="72" a="1"/>
  <c r="M51" i="82" a="1"/>
  <c r="K39" i="72" a="1"/>
  <c r="M51" i="82" l="1"/>
  <c r="N51" i="82"/>
  <c r="Z50" i="82"/>
  <c r="Y50" i="82"/>
  <c r="AG48" i="82"/>
  <c r="AH48" i="82"/>
  <c r="U49" i="82"/>
  <c r="V49" i="82"/>
  <c r="R48" i="82"/>
  <c r="S48" i="82"/>
  <c r="AF49" i="82"/>
  <c r="AC49" i="82"/>
  <c r="AD48" i="82"/>
  <c r="AE48" i="82"/>
  <c r="Q49" i="82"/>
  <c r="AA50" i="82"/>
  <c r="AB50" i="82" s="1"/>
  <c r="X51" i="82"/>
  <c r="O51" i="82"/>
  <c r="L52" i="82"/>
  <c r="P50" i="82"/>
  <c r="T50" i="82" s="1"/>
  <c r="Y36" i="72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AA36" i="72" a="1"/>
  <c r="Z51" i="82" a="1"/>
  <c r="N52" i="82" a="1"/>
  <c r="J39" i="72" a="1"/>
  <c r="Y51" i="82" a="1"/>
  <c r="U40" i="72" a="1"/>
  <c r="Y37" i="72" a="1"/>
  <c r="T39" i="72" a="1"/>
  <c r="M52" i="82" a="1"/>
  <c r="K40" i="72" a="1"/>
  <c r="Y51" i="82" l="1"/>
  <c r="Z51" i="82"/>
  <c r="M52" i="82"/>
  <c r="N52" i="82"/>
  <c r="O52" i="82" s="1"/>
  <c r="R49" i="82"/>
  <c r="S49" i="82"/>
  <c r="AH49" i="82"/>
  <c r="AG49" i="82"/>
  <c r="V50" i="82"/>
  <c r="U50" i="82"/>
  <c r="AF50" i="82"/>
  <c r="AC50" i="82"/>
  <c r="AD49" i="82"/>
  <c r="AE49" i="82"/>
  <c r="Q50" i="82"/>
  <c r="AA51" i="82"/>
  <c r="AB51" i="82" s="1"/>
  <c r="X52" i="82"/>
  <c r="L53" i="82"/>
  <c r="P51" i="82"/>
  <c r="T51" i="82" s="1"/>
  <c r="AA36" i="72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U41" i="72" a="1"/>
  <c r="Y38" i="72" a="1"/>
  <c r="M53" i="82" a="1"/>
  <c r="F14" i="78" a="1"/>
  <c r="N53" i="82" a="1"/>
  <c r="K41" i="72" a="1"/>
  <c r="T40" i="72" a="1"/>
  <c r="Y52" i="82" a="1"/>
  <c r="J40" i="72" a="1"/>
  <c r="AA37" i="72" a="1"/>
  <c r="Z52" i="82" a="1"/>
  <c r="N53" i="82" l="1"/>
  <c r="O53" i="82" s="1"/>
  <c r="M53" i="82"/>
  <c r="Y52" i="82"/>
  <c r="Z52" i="82"/>
  <c r="V51" i="82"/>
  <c r="U51" i="82"/>
  <c r="R50" i="82"/>
  <c r="S50" i="82"/>
  <c r="AF51" i="82"/>
  <c r="AC51" i="82"/>
  <c r="AD50" i="82"/>
  <c r="AE50" i="82"/>
  <c r="AH50" i="82"/>
  <c r="AG50" i="82"/>
  <c r="Q51" i="82"/>
  <c r="AA52" i="82"/>
  <c r="AB52" i="82" s="1"/>
  <c r="X53" i="82"/>
  <c r="L54" i="82"/>
  <c r="P52" i="82"/>
  <c r="T52" i="82" s="1"/>
  <c r="F14" i="78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N54" i="82" a="1"/>
  <c r="Z53" i="82" a="1"/>
  <c r="Y39" i="72" a="1"/>
  <c r="Y53" i="82" a="1"/>
  <c r="U42" i="72" a="1"/>
  <c r="J41" i="72" a="1"/>
  <c r="T41" i="72" a="1"/>
  <c r="M54" i="82" a="1"/>
  <c r="K42" i="72" a="1"/>
  <c r="AA38" i="72" a="1"/>
  <c r="D14" i="78" a="1"/>
  <c r="N54" i="82" l="1"/>
  <c r="M54" i="82"/>
  <c r="Y53" i="82"/>
  <c r="Z53" i="82"/>
  <c r="R51" i="82"/>
  <c r="S51" i="82"/>
  <c r="V52" i="82"/>
  <c r="U52" i="82"/>
  <c r="AH51" i="82"/>
  <c r="AG51" i="82"/>
  <c r="AD51" i="82"/>
  <c r="AE51" i="82"/>
  <c r="AF52" i="82"/>
  <c r="AC52" i="82"/>
  <c r="Q52" i="82"/>
  <c r="AA53" i="82"/>
  <c r="AB53" i="82" s="1"/>
  <c r="X54" i="82"/>
  <c r="O54" i="82"/>
  <c r="L55" i="82"/>
  <c r="P53" i="82"/>
  <c r="T53" i="82" s="1"/>
  <c r="D14" i="78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AA39" i="72" a="1"/>
  <c r="J42" i="72" a="1"/>
  <c r="U43" i="72" a="1"/>
  <c r="Y54" i="82" a="1"/>
  <c r="N55" i="82" a="1"/>
  <c r="M55" i="82" a="1"/>
  <c r="Z54" i="82" a="1"/>
  <c r="Y40" i="72" a="1"/>
  <c r="K43" i="72" a="1"/>
  <c r="T42" i="72" a="1"/>
  <c r="M55" i="82" l="1"/>
  <c r="N55" i="82"/>
  <c r="Y54" i="82"/>
  <c r="Z54" i="82"/>
  <c r="S52" i="82"/>
  <c r="R52" i="82"/>
  <c r="V53" i="82"/>
  <c r="U53" i="82"/>
  <c r="AH52" i="82"/>
  <c r="AG52" i="82"/>
  <c r="AF53" i="82"/>
  <c r="AC53" i="82"/>
  <c r="AD52" i="82"/>
  <c r="AE52" i="82"/>
  <c r="Q53" i="82"/>
  <c r="AA54" i="82"/>
  <c r="AB54" i="82" s="1"/>
  <c r="X55" i="82"/>
  <c r="O55" i="82"/>
  <c r="P54" i="82"/>
  <c r="T54" i="82" s="1"/>
  <c r="L56" i="82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Y41" i="72" a="1"/>
  <c r="M56" i="82" a="1"/>
  <c r="Y55" i="82" a="1"/>
  <c r="T43" i="72" a="1"/>
  <c r="K44" i="72" a="1"/>
  <c r="U44" i="72" a="1"/>
  <c r="Z55" i="82" a="1"/>
  <c r="AA40" i="72" a="1"/>
  <c r="J43" i="72" a="1"/>
  <c r="N56" i="82" a="1"/>
  <c r="N56" i="82" l="1"/>
  <c r="M56" i="82"/>
  <c r="Z55" i="82"/>
  <c r="AA55" i="82" s="1"/>
  <c r="AB55" i="82" s="1"/>
  <c r="Y55" i="82"/>
  <c r="L57" i="82"/>
  <c r="AF54" i="82"/>
  <c r="AC54" i="82"/>
  <c r="V54" i="82"/>
  <c r="U54" i="82"/>
  <c r="R53" i="82"/>
  <c r="S53" i="82"/>
  <c r="AD53" i="82"/>
  <c r="AE53" i="82"/>
  <c r="AH53" i="82"/>
  <c r="AG53" i="82"/>
  <c r="Q54" i="82"/>
  <c r="X56" i="82"/>
  <c r="O56" i="82"/>
  <c r="P55" i="82"/>
  <c r="T55" i="82" s="1"/>
  <c r="Y41" i="72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M57" i="82" a="1"/>
  <c r="AA41" i="72" a="1"/>
  <c r="U45" i="72" a="1"/>
  <c r="T44" i="72" a="1"/>
  <c r="N57" i="82" a="1"/>
  <c r="Z56" i="82" a="1"/>
  <c r="K45" i="72" a="1"/>
  <c r="Y56" i="82" a="1"/>
  <c r="Y42" i="72" a="1"/>
  <c r="J44" i="72" a="1"/>
  <c r="N57" i="82" l="1"/>
  <c r="O57" i="82" s="1"/>
  <c r="P57" i="82" s="1"/>
  <c r="T57" i="82" s="1"/>
  <c r="M57" i="82"/>
  <c r="Y56" i="82"/>
  <c r="Z56" i="82"/>
  <c r="AA56" i="82" s="1"/>
  <c r="AB56" i="82" s="1"/>
  <c r="L58" i="82"/>
  <c r="R54" i="82"/>
  <c r="S54" i="82"/>
  <c r="V57" i="82"/>
  <c r="U57" i="82"/>
  <c r="AD54" i="82"/>
  <c r="AE54" i="82"/>
  <c r="AF55" i="82"/>
  <c r="AC55" i="82"/>
  <c r="U55" i="82"/>
  <c r="V55" i="82"/>
  <c r="AH54" i="82"/>
  <c r="AG54" i="82"/>
  <c r="Q55" i="82"/>
  <c r="X57" i="82"/>
  <c r="L59" i="82"/>
  <c r="P56" i="82"/>
  <c r="T56" i="82" s="1"/>
  <c r="X43" i="72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Z57" i="82" a="1"/>
  <c r="K46" i="72" a="1"/>
  <c r="Y57" i="82" a="1"/>
  <c r="N59" i="82" a="1"/>
  <c r="N58" i="82" a="1"/>
  <c r="T45" i="72" a="1"/>
  <c r="U46" i="72" a="1"/>
  <c r="M59" i="82" a="1"/>
  <c r="J45" i="72" a="1"/>
  <c r="AA42" i="72" a="1"/>
  <c r="Y43" i="72" a="1"/>
  <c r="M58" i="82" a="1"/>
  <c r="AA43" i="72" a="1"/>
  <c r="Q57" i="82" l="1"/>
  <c r="N59" i="82"/>
  <c r="M59" i="82"/>
  <c r="Y57" i="82"/>
  <c r="Z57" i="82"/>
  <c r="N58" i="82"/>
  <c r="O58" i="82" s="1"/>
  <c r="P58" i="82" s="1"/>
  <c r="T58" i="82" s="1"/>
  <c r="V58" i="82" s="1"/>
  <c r="M58" i="82"/>
  <c r="AE55" i="82"/>
  <c r="AD55" i="82"/>
  <c r="AF56" i="82"/>
  <c r="AC56" i="82"/>
  <c r="R57" i="82"/>
  <c r="S57" i="82"/>
  <c r="R55" i="82"/>
  <c r="S55" i="82"/>
  <c r="AH55" i="82"/>
  <c r="AG55" i="82"/>
  <c r="U56" i="82"/>
  <c r="V56" i="82"/>
  <c r="Q56" i="82"/>
  <c r="AA57" i="82"/>
  <c r="AB57" i="82" s="1"/>
  <c r="X58" i="82"/>
  <c r="O59" i="82"/>
  <c r="P59" i="82" s="1"/>
  <c r="T59" i="82" s="1"/>
  <c r="L60" i="82"/>
  <c r="Y43" i="72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K47" i="72" a="1"/>
  <c r="U47" i="72" a="1"/>
  <c r="Y44" i="72" a="1"/>
  <c r="N60" i="82" a="1"/>
  <c r="Z58" i="82" a="1"/>
  <c r="Y58" i="82" a="1"/>
  <c r="T46" i="72" a="1"/>
  <c r="M60" i="82" a="1"/>
  <c r="J46" i="72" a="1"/>
  <c r="Q58" i="82" l="1"/>
  <c r="M60" i="82"/>
  <c r="N60" i="82"/>
  <c r="Y58" i="82"/>
  <c r="Z58" i="82"/>
  <c r="AA58" i="82" s="1"/>
  <c r="AB58" i="82" s="1"/>
  <c r="U58" i="82"/>
  <c r="R56" i="82"/>
  <c r="S56" i="82"/>
  <c r="AD56" i="82"/>
  <c r="AE56" i="82"/>
  <c r="U59" i="82"/>
  <c r="V59" i="82"/>
  <c r="R58" i="82"/>
  <c r="S58" i="82"/>
  <c r="AG56" i="82"/>
  <c r="AH56" i="82"/>
  <c r="AF57" i="82"/>
  <c r="AC57" i="82"/>
  <c r="Q59" i="82"/>
  <c r="X59" i="82"/>
  <c r="O60" i="82"/>
  <c r="P60" i="82" s="1"/>
  <c r="T60" i="82" s="1"/>
  <c r="L61" i="82"/>
  <c r="Y44" i="72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J47" i="72" a="1"/>
  <c r="Z59" i="82" a="1"/>
  <c r="N61" i="82" a="1"/>
  <c r="K48" i="72" a="1"/>
  <c r="Y59" i="82" a="1"/>
  <c r="T47" i="72" a="1"/>
  <c r="AA44" i="72" a="1"/>
  <c r="M61" i="82" a="1"/>
  <c r="U48" i="72" a="1"/>
  <c r="Y45" i="72" a="1"/>
  <c r="M61" i="82" l="1"/>
  <c r="N61" i="82"/>
  <c r="Y59" i="82"/>
  <c r="Z59" i="82"/>
  <c r="V60" i="82"/>
  <c r="U60" i="82"/>
  <c r="AD57" i="82"/>
  <c r="AE57" i="82"/>
  <c r="AH57" i="82"/>
  <c r="AG57" i="82"/>
  <c r="R59" i="82"/>
  <c r="S59" i="82"/>
  <c r="AF58" i="82"/>
  <c r="AC58" i="82"/>
  <c r="Q60" i="82"/>
  <c r="AA59" i="82"/>
  <c r="AB59" i="82" s="1"/>
  <c r="X60" i="82"/>
  <c r="O61" i="82"/>
  <c r="P61" i="82" s="1"/>
  <c r="T61" i="82" s="1"/>
  <c r="L62" i="82"/>
  <c r="Y45" i="72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K49" i="72" a="1"/>
  <c r="N62" i="82" a="1"/>
  <c r="U49" i="72" a="1"/>
  <c r="M62" i="82" a="1"/>
  <c r="AA45" i="72" a="1"/>
  <c r="Y46" i="72" a="1"/>
  <c r="Y60" i="82" a="1"/>
  <c r="T48" i="72" a="1"/>
  <c r="Z60" i="82" a="1"/>
  <c r="J48" i="72" a="1"/>
  <c r="M62" i="82" l="1"/>
  <c r="N62" i="82"/>
  <c r="Z60" i="82"/>
  <c r="Y60" i="82"/>
  <c r="V61" i="82"/>
  <c r="U61" i="82"/>
  <c r="AH58" i="82"/>
  <c r="AG58" i="82"/>
  <c r="AF59" i="82"/>
  <c r="AC59" i="82"/>
  <c r="AD58" i="82"/>
  <c r="AE58" i="82"/>
  <c r="S60" i="82"/>
  <c r="R60" i="82"/>
  <c r="Q61" i="82"/>
  <c r="AA60" i="82"/>
  <c r="AB60" i="82" s="1"/>
  <c r="X61" i="82"/>
  <c r="O62" i="82"/>
  <c r="P62" i="82" s="1"/>
  <c r="T62" i="82" s="1"/>
  <c r="L63" i="82"/>
  <c r="Y46" i="72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K50" i="72" a="1"/>
  <c r="U50" i="72" a="1"/>
  <c r="M63" i="82" a="1"/>
  <c r="AA46" i="72" a="1"/>
  <c r="J49" i="72" a="1"/>
  <c r="N63" i="82" a="1"/>
  <c r="T49" i="72" a="1"/>
  <c r="Z61" i="82" a="1"/>
  <c r="Y61" i="82" a="1"/>
  <c r="Y47" i="72" a="1"/>
  <c r="N63" i="82" l="1"/>
  <c r="M63" i="82"/>
  <c r="Y61" i="82"/>
  <c r="Z61" i="82"/>
  <c r="AH59" i="82"/>
  <c r="AG59" i="82"/>
  <c r="AF60" i="82"/>
  <c r="AC60" i="82"/>
  <c r="U62" i="82"/>
  <c r="V62" i="82"/>
  <c r="R61" i="82"/>
  <c r="S61" i="82"/>
  <c r="AD59" i="82"/>
  <c r="AE59" i="82"/>
  <c r="Q62" i="82"/>
  <c r="AA61" i="82"/>
  <c r="AB61" i="82" s="1"/>
  <c r="X62" i="82"/>
  <c r="O63" i="82"/>
  <c r="P63" i="82" s="1"/>
  <c r="T63" i="82" s="1"/>
  <c r="L64" i="82"/>
  <c r="AA46" i="72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Y62" i="82" a="1"/>
  <c r="U51" i="72" a="1"/>
  <c r="N64" i="82" a="1"/>
  <c r="Z62" i="82" a="1"/>
  <c r="J50" i="72" a="1"/>
  <c r="Y48" i="72" a="1"/>
  <c r="M64" i="82" a="1"/>
  <c r="K51" i="72" a="1"/>
  <c r="AA47" i="72" a="1"/>
  <c r="T50" i="72" a="1"/>
  <c r="N64" i="82" l="1"/>
  <c r="M64" i="82"/>
  <c r="Z62" i="82"/>
  <c r="Y62" i="82"/>
  <c r="AF61" i="82"/>
  <c r="AC61" i="82"/>
  <c r="AD60" i="82"/>
  <c r="AE60" i="82"/>
  <c r="AG60" i="82"/>
  <c r="AH60" i="82"/>
  <c r="V63" i="82"/>
  <c r="U63" i="82"/>
  <c r="R62" i="82"/>
  <c r="S62" i="82"/>
  <c r="Q63" i="82"/>
  <c r="AA62" i="82"/>
  <c r="AB62" i="82" s="1"/>
  <c r="X63" i="82"/>
  <c r="O64" i="82"/>
  <c r="P64" i="82" s="1"/>
  <c r="T64" i="82" s="1"/>
  <c r="L65" i="82"/>
  <c r="Y48" i="72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M65" i="82" a="1"/>
  <c r="Z63" i="82" a="1"/>
  <c r="K52" i="72" a="1"/>
  <c r="J51" i="72" a="1"/>
  <c r="Y63" i="82" a="1"/>
  <c r="U52" i="72" a="1"/>
  <c r="N65" i="82" a="1"/>
  <c r="T51" i="72" a="1"/>
  <c r="Y49" i="72" a="1"/>
  <c r="AA48" i="72" a="1"/>
  <c r="M65" i="82" l="1"/>
  <c r="N65" i="82"/>
  <c r="Z63" i="82"/>
  <c r="Y63" i="82"/>
  <c r="V64" i="82"/>
  <c r="U64" i="82"/>
  <c r="R63" i="82"/>
  <c r="S63" i="82"/>
  <c r="AF62" i="82"/>
  <c r="AC62" i="82"/>
  <c r="AD61" i="82"/>
  <c r="AE61" i="82"/>
  <c r="AH61" i="82"/>
  <c r="AG61" i="82"/>
  <c r="Q64" i="82"/>
  <c r="AA63" i="82"/>
  <c r="AB63" i="82" s="1"/>
  <c r="X64" i="82"/>
  <c r="O65" i="82"/>
  <c r="P65" i="82" s="1"/>
  <c r="T65" i="82" s="1"/>
  <c r="Y49" i="72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J52" i="72" a="1"/>
  <c r="U53" i="72" a="1"/>
  <c r="T52" i="72" a="1"/>
  <c r="AA49" i="72" a="1"/>
  <c r="K53" i="72" a="1"/>
  <c r="Z64" i="82" a="1"/>
  <c r="Y50" i="72" a="1"/>
  <c r="Y64" i="82" a="1"/>
  <c r="Z64" i="82" l="1"/>
  <c r="Y64" i="82"/>
  <c r="V65" i="82"/>
  <c r="U65" i="82"/>
  <c r="AH62" i="82"/>
  <c r="AG62" i="82"/>
  <c r="R64" i="82"/>
  <c r="S64" i="82"/>
  <c r="AF63" i="82"/>
  <c r="AC63" i="82"/>
  <c r="AD62" i="82"/>
  <c r="AE62" i="82"/>
  <c r="Q65" i="82"/>
  <c r="AA64" i="82"/>
  <c r="AB64" i="82" s="1"/>
  <c r="X65" i="82"/>
  <c r="AA49" i="72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AA50" i="72" a="1"/>
  <c r="J53" i="72" a="1"/>
  <c r="Z65" i="82" a="1"/>
  <c r="Y65" i="82" a="1"/>
  <c r="T53" i="72" a="1"/>
  <c r="Y51" i="72" a="1"/>
  <c r="Y65" i="82" l="1"/>
  <c r="Z65" i="82"/>
  <c r="AE63" i="82"/>
  <c r="AD63" i="82"/>
  <c r="AF64" i="82"/>
  <c r="AC64" i="82"/>
  <c r="AG63" i="82"/>
  <c r="AH63" i="82"/>
  <c r="R65" i="82"/>
  <c r="S65" i="82"/>
  <c r="AA65" i="82"/>
  <c r="AB65" i="82" s="1"/>
  <c r="Y51" i="72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AD64" i="82" l="1"/>
  <c r="AE64" i="82"/>
  <c r="AF65" i="82"/>
  <c r="AC65" i="82"/>
  <c r="AH64" i="82"/>
  <c r="AG64" i="82"/>
  <c r="Y52" i="72"/>
  <c r="AA51" i="72"/>
  <c r="O52" i="72"/>
  <c r="Q52" i="72"/>
  <c r="N53" i="72"/>
  <c r="Z53" i="72"/>
  <c r="P53" i="72"/>
  <c r="X53" i="72"/>
  <c r="Y53" i="72" a="1"/>
  <c r="AA52" i="72" a="1"/>
  <c r="AD65" i="82" l="1"/>
  <c r="AE65" i="82"/>
  <c r="AH65" i="82"/>
  <c r="AG65" i="82"/>
  <c r="Y53" i="72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<sst xmlns="http://schemas.openxmlformats.org/spreadsheetml/2006/main" count="760" uniqueCount="316">
  <si>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</si>
  <si>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</si>
  <si>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</si>
  <si>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</si>
  <si>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</si>
  <si>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</si>
  <si>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</si>
  <si>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</si>
  <si>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</si>
  <si>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</si>
  <si>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</si>
  <si>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</si>
  <si>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</si>
  <si>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</si>
  <si>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</si>
  <si>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</si>
  <si>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</si>
  <si>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</si>
  <si>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</si>
  <si>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</si>
  <si>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</si>
  <si>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</si>
  <si>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</si>
  <si>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</si>
  <si>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</si>
  <si>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</si>
  <si>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</si>
  <si>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</si>
  <si>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</si>
  <si>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</si>
  <si>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</si>
  <si>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</si>
  <si>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</si>
  <si>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</si>
  <si>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</si>
  <si>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</si>
  <si>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</si>
  <si>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</si>
  <si>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</si>
  <si>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</si>
  <si>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</si>
  <si>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</si>
  <si>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</si>
  <si>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</si>
  <si>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</si>
  <si>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</si>
  <si>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</si>
  <si>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</si>
  <si>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</si>
  <si>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</si>
  <si>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</si>
  <si>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</si>
  <si>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</si>
  <si>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</si>
  <si>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</si>
  <si>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</si>
  <si>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</si>
  <si>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</si>
  <si>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</si>
  <si>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</si>
  <si>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</si>
  <si>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</si>
  <si>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</si>
  <si>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</si>
  <si>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</si>
  <si>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</si>
  <si>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</si>
  <si>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</si>
  <si>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</si>
  <si>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</si>
  <si>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</si>
  <si>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</si>
  <si>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</si>
  <si>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</si>
  <si>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</si>
  <si>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</si>
  <si>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</si>
  <si>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</si>
  <si>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</si>
  <si>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</si>
  <si>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</si>
  <si>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</si>
  <si>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</si>
  <si>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</si>
  <si>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</si>
  <si>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</si>
  <si>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</si>
  <si>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</si>
  <si>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</si>
  <si>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</si>
  <si>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</si>
  <si>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</si>
  <si>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</si>
  <si>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</si>
  <si>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</si>
  <si>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</si>
  <si>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</si>
  <si>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</si>
  <si>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</si>
  <si>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</si>
  <si>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</si>
  <si>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</si>
  <si>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</si>
  <si>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</si>
  <si>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</si>
  <si>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</si>
  <si>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</si>
  <si>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</si>
  <si>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</si>
  <si>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</si>
  <si>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</si>
  <si>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</si>
  <si>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</si>
  <si>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</si>
  <si>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</si>
  <si>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</si>
  <si>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</si>
  <si>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</si>
  <si>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</si>
  <si>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</si>
  <si>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</si>
  <si>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</si>
  <si>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</si>
  <si>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</si>
  <si>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</si>
  <si>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</si>
  <si>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</si>
  <si>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</si>
  <si>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</si>
  <si>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</si>
  <si>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</si>
  <si>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</si>
  <si>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</si>
  <si>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</si>
  <si>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</si>
  <si>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</si>
  <si>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</si>
  <si>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</si>
  <si>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</si>
  <si>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</si>
  <si>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</si>
  <si>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</si>
  <si>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</si>
  <si>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</si>
  <si>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</si>
  <si>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</si>
  <si>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</si>
  <si>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</si>
  <si>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</si>
  <si>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</si>
  <si>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</si>
  <si>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</si>
  <si>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</si>
  <si>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</si>
  <si>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</si>
  <si>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</si>
  <si>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</si>
  <si>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</si>
  <si>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</si>
  <si>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</si>
  <si>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</si>
  <si>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</si>
  <si>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</si>
  <si>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</si>
  <si>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</si>
  <si>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</si>
  <si>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</si>
  <si>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</si>
  <si>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</si>
  <si>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</si>
  <si>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</si>
  <si>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</si>
  <si>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</si>
  <si>
    <t>Homework # 11</t>
  </si>
  <si>
    <t>Rate of Climb, Rate of Descent, &amp; Ceilings</t>
  </si>
  <si>
    <t>Part a</t>
  </si>
  <si>
    <t>20,000 ft</t>
  </si>
  <si>
    <t>Maximum Rate of Climb</t>
  </si>
  <si>
    <t xml:space="preserve"> ft/min</t>
  </si>
  <si>
    <t>Velocity for Maximum Rate of Climb</t>
  </si>
  <si>
    <t>Maximum Climb Angle</t>
  </si>
  <si>
    <t>degrees</t>
  </si>
  <si>
    <t>Velocity for Maximum Climb Angle</t>
  </si>
  <si>
    <t>Part b</t>
  </si>
  <si>
    <t>Minimum Rate of Descent</t>
  </si>
  <si>
    <t>Velocity for Minimum Rate of Descent</t>
  </si>
  <si>
    <t>Minimum Glide Angle</t>
  </si>
  <si>
    <t>Velocity for Minimum Glide Angle</t>
  </si>
  <si>
    <t>Part e</t>
  </si>
  <si>
    <t>Absolute Ceiling</t>
  </si>
  <si>
    <t>Service Ceiling</t>
  </si>
  <si>
    <t>Cruise Ceiling</t>
  </si>
  <si>
    <t>Z</t>
  </si>
  <si>
    <t>Max Thrust</t>
  </si>
  <si>
    <t>Rho</t>
  </si>
  <si>
    <t>a_speed</t>
  </si>
  <si>
    <t>slugs/ft^3</t>
  </si>
  <si>
    <t>CL^(3/2) / CD</t>
  </si>
  <si>
    <t>Theta</t>
  </si>
  <si>
    <t>deg</t>
  </si>
  <si>
    <t>VH</t>
  </si>
  <si>
    <t>Vv</t>
  </si>
  <si>
    <t>Thrust Available</t>
  </si>
  <si>
    <t>Climbing</t>
  </si>
  <si>
    <t>Descending</t>
  </si>
  <si>
    <t>ft/min</t>
  </si>
  <si>
    <t>Derive linear relationship for R/C max</t>
  </si>
  <si>
    <t>b</t>
  </si>
  <si>
    <t>1/min</t>
  </si>
  <si>
    <t>Max R/C</t>
  </si>
  <si>
    <t>for R/C = a + bh</t>
  </si>
  <si>
    <t xml:space="preserve">* I tried to move the tables to separate sheets but it ruined all of my references so unfortunately I </t>
  </si>
  <si>
    <t>will need to keep them on the same sheet. In the future I will start it on separate sheets</t>
  </si>
  <si>
    <t>Graphs Review:</t>
  </si>
  <si>
    <t>Both graphs match the max climb rate and the min descend rate the was calcualted exlicitly.</t>
  </si>
  <si>
    <t>Each point was located directly on the apex of the curves.</t>
  </si>
  <si>
    <t>Homework #12</t>
  </si>
  <si>
    <t>Climb &amp; Descent</t>
  </si>
  <si>
    <t xml:space="preserve">Problem 1a – Climb </t>
  </si>
  <si>
    <t>R/C</t>
  </si>
  <si>
    <t>Fuel Flow</t>
  </si>
  <si>
    <t>(ft/sec)</t>
  </si>
  <si>
    <t>(lb/sec)</t>
  </si>
  <si>
    <t>Max Rate of Climb at Sea Level</t>
  </si>
  <si>
    <t>Max Rate of Climb at 20,000 ft</t>
  </si>
  <si>
    <t>150 KTAS at Sea Level</t>
  </si>
  <si>
    <t>150 KTAS at 20,000 ft</t>
  </si>
  <si>
    <t xml:space="preserve">Problem 1b – Descent </t>
  </si>
  <si>
    <t>R/D</t>
  </si>
  <si>
    <r>
      <rPr>
        <b/>
        <sz val="12"/>
        <color theme="1"/>
        <rFont val="Symbol"/>
        <family val="1"/>
        <charset val="2"/>
      </rPr>
      <t>q</t>
    </r>
    <r>
      <rPr>
        <b/>
        <vertAlign val="subscript"/>
        <sz val="12"/>
        <color theme="1"/>
        <rFont val="Calibri"/>
        <family val="2"/>
        <scheme val="minor"/>
      </rPr>
      <t>min</t>
    </r>
    <r>
      <rPr>
        <b/>
        <sz val="12"/>
        <color theme="1"/>
        <rFont val="Calibri"/>
        <family val="2"/>
        <scheme val="minor"/>
      </rPr>
      <t xml:space="preserve"> </t>
    </r>
  </si>
  <si>
    <t>(deg)</t>
  </si>
  <si>
    <t>Minimum Glide Angle at 20,000 ft</t>
  </si>
  <si>
    <t>Minimum Glide Angle at Sea Level</t>
  </si>
  <si>
    <t>Problem 2a – Climb Time, Fuel, &amp; Distance</t>
  </si>
  <si>
    <t>Time</t>
  </si>
  <si>
    <t>Fuel</t>
  </si>
  <si>
    <t>Distance</t>
  </si>
  <si>
    <t>(sec)</t>
  </si>
  <si>
    <t>(lb)</t>
  </si>
  <si>
    <t>(NM)</t>
  </si>
  <si>
    <t>Min Time Climb from Sea Level to 20,000 ft</t>
  </si>
  <si>
    <t>150 KTAS climb from Sea Level to 20,000 ft</t>
  </si>
  <si>
    <t>Problem 2b – Descent Time, Fuel, &amp; Distance</t>
  </si>
  <si>
    <t>Max Range Descent from 20,000 ft to Sea Level</t>
  </si>
  <si>
    <t>150 KTAS Descent from 20,000 ft to Sea Level</t>
  </si>
  <si>
    <t>Max Ta</t>
  </si>
  <si>
    <t>lbm/(lbf-hr)</t>
  </si>
  <si>
    <t>Cl</t>
  </si>
  <si>
    <t>Drag</t>
  </si>
  <si>
    <t>v</t>
  </si>
  <si>
    <t>Homework #13</t>
  </si>
  <si>
    <t>Acceleration &amp; Deceleration</t>
  </si>
  <si>
    <t xml:space="preserve">Problem 1a – Acceleration </t>
  </si>
  <si>
    <t>dV/dt</t>
  </si>
  <si>
    <r>
      <t>(ft/sec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>)</t>
    </r>
  </si>
  <si>
    <t>0.15 Mach at Sea Level</t>
  </si>
  <si>
    <t>0.35 Mach at Sea Level</t>
  </si>
  <si>
    <t>0.20 Mach at 20,000 ft</t>
  </si>
  <si>
    <t>0.40 Mach at 20,000 ft</t>
  </si>
  <si>
    <t xml:space="preserve">Problem 1b – Deceleration </t>
  </si>
  <si>
    <t>Problem 2a – Acceleration Time, Fuel, &amp; Distance</t>
  </si>
  <si>
    <t>Acceleration from 0.15 M to 0.35 M at Sea Level</t>
  </si>
  <si>
    <t>Acceleration from 0.20 M to 0.40 M at 20,000 ft</t>
  </si>
  <si>
    <t>Problem 2b – Deceleration Time, Fuel, &amp; Distance</t>
  </si>
  <si>
    <t>Deceleration from 0.35 M to 0.15 M at Sea Level</t>
  </si>
  <si>
    <t>Deceleration from 0.40 M to 0.20 M at 20,000 ft</t>
  </si>
  <si>
    <t>Homework #14</t>
  </si>
  <si>
    <t>Maneuver</t>
  </si>
  <si>
    <t>Part a: Sustained Turn Capabilities</t>
  </si>
  <si>
    <t>Maximum Sustained Load Factor</t>
  </si>
  <si>
    <t>Velocity for Maximum Sustained Load Factor</t>
  </si>
  <si>
    <t>Bank Angle</t>
  </si>
  <si>
    <t>Sustained Turn Rate</t>
  </si>
  <si>
    <t>deg/sec</t>
  </si>
  <si>
    <t>Sustained Turn Radius</t>
  </si>
  <si>
    <t>Part b: Instantaneous Turn Capabilities</t>
  </si>
  <si>
    <t>Maximum Instantaneous Load Factor</t>
  </si>
  <si>
    <t>Corner Velocity</t>
  </si>
  <si>
    <t>Maximum Turn Rate at Corner Velocity</t>
  </si>
  <si>
    <t>Minimum Turn Radius at Corner Velocity</t>
  </si>
  <si>
    <t>Part c: Flight Condition 0.25M / SL</t>
  </si>
  <si>
    <r>
      <t>P</t>
    </r>
    <r>
      <rPr>
        <b/>
        <vertAlign val="subscript"/>
        <sz val="12"/>
        <color theme="1"/>
        <rFont val="Calibri"/>
        <family val="2"/>
        <scheme val="minor"/>
      </rPr>
      <t>s</t>
    </r>
  </si>
  <si>
    <t>Turn Rate</t>
  </si>
  <si>
    <t>Turn Radius</t>
  </si>
  <si>
    <t>(g's)</t>
  </si>
  <si>
    <t>(deg/sec)</t>
  </si>
  <si>
    <t>Ta</t>
  </si>
  <si>
    <t>V</t>
  </si>
  <si>
    <t>(thrust-drag)*V/W</t>
  </si>
  <si>
    <t>Homework #15</t>
  </si>
  <si>
    <t>Takeoff &amp; Landing</t>
  </si>
  <si>
    <t>Part a: Takeoff Performance at 960 lbs</t>
  </si>
  <si>
    <t>2,000 ft</t>
  </si>
  <si>
    <t>Stall Velocity with takeoff flaps</t>
  </si>
  <si>
    <t>Rotation Velocity</t>
  </si>
  <si>
    <t>Takeoff Velocity</t>
  </si>
  <si>
    <t>Average acceleration during ground roll</t>
  </si>
  <si>
    <r>
      <t xml:space="preserve"> ft/sec</t>
    </r>
    <r>
      <rPr>
        <b/>
        <vertAlign val="superscript"/>
        <sz val="12"/>
        <color theme="1"/>
        <rFont val="Calibri"/>
        <family val="2"/>
        <scheme val="minor"/>
      </rPr>
      <t>2</t>
    </r>
  </si>
  <si>
    <r>
      <t xml:space="preserve">    (</t>
    </r>
    <r>
      <rPr>
        <b/>
        <sz val="12"/>
        <color theme="1"/>
        <rFont val="Symbol"/>
        <family val="1"/>
        <charset val="2"/>
      </rPr>
      <t>D</t>
    </r>
    <r>
      <rPr>
        <b/>
        <sz val="12"/>
        <color theme="1"/>
        <rFont val="Calibri"/>
        <family val="2"/>
        <scheme val="minor"/>
      </rPr>
      <t>C</t>
    </r>
    <r>
      <rPr>
        <b/>
        <vertAlign val="subscript"/>
        <sz val="12"/>
        <color theme="1"/>
        <rFont val="Calibri"/>
        <family val="2"/>
        <scheme val="minor"/>
      </rPr>
      <t>D0</t>
    </r>
    <r>
      <rPr>
        <b/>
        <sz val="12"/>
        <color theme="1"/>
        <rFont val="Calibri"/>
        <family val="2"/>
        <scheme val="minor"/>
      </rPr>
      <t xml:space="preserve">=0.0148 ; </t>
    </r>
    <r>
      <rPr>
        <b/>
        <sz val="12"/>
        <color theme="1"/>
        <rFont val="Symbol"/>
        <family val="1"/>
        <charset val="2"/>
      </rPr>
      <t>m</t>
    </r>
    <r>
      <rPr>
        <b/>
        <vertAlign val="subscript"/>
        <sz val="12"/>
        <color theme="1"/>
        <rFont val="Calibri"/>
        <family val="2"/>
        <scheme val="minor"/>
      </rPr>
      <t>r</t>
    </r>
    <r>
      <rPr>
        <b/>
        <sz val="12"/>
        <color theme="1"/>
        <rFont val="Calibri"/>
        <family val="2"/>
        <scheme val="minor"/>
      </rPr>
      <t>=0.025 ; V = 0.7 VTO)</t>
    </r>
  </si>
  <si>
    <t>Takeoff Ground Roll Distance</t>
  </si>
  <si>
    <t>Part b: Landing Performance at 660 lbs</t>
  </si>
  <si>
    <t>Stall Velocity with landing flaps</t>
  </si>
  <si>
    <t>Approach Velocity</t>
  </si>
  <si>
    <t>Touchdown Velocity</t>
  </si>
  <si>
    <t>Transition Ground Roll Distance</t>
  </si>
  <si>
    <t>Braking Ground Roll Distance</t>
  </si>
  <si>
    <r>
      <t xml:space="preserve">    (</t>
    </r>
    <r>
      <rPr>
        <b/>
        <sz val="12"/>
        <color theme="1"/>
        <rFont val="Symbol"/>
        <family val="1"/>
        <charset val="2"/>
      </rPr>
      <t>m</t>
    </r>
    <r>
      <rPr>
        <b/>
        <vertAlign val="subscript"/>
        <sz val="12"/>
        <color theme="1"/>
        <rFont val="Calibri"/>
        <family val="2"/>
        <scheme val="minor"/>
      </rPr>
      <t>b</t>
    </r>
    <r>
      <rPr>
        <b/>
        <sz val="12"/>
        <color theme="1"/>
        <rFont val="Calibri"/>
        <family val="2"/>
        <scheme val="minor"/>
      </rPr>
      <t>=0.30)</t>
    </r>
  </si>
  <si>
    <t>Total Landing Ground Roll Distance</t>
  </si>
  <si>
    <t>Alt</t>
  </si>
  <si>
    <t>CL TO</t>
  </si>
  <si>
    <t>L</t>
  </si>
  <si>
    <t>CL lan</t>
  </si>
  <si>
    <t>*Ignore Lift induced Drag</t>
  </si>
  <si>
    <t>Landing Weight</t>
  </si>
  <si>
    <t>*For rolling Cl and L are considered negligable</t>
  </si>
  <si>
    <t>Lift Calc at 0.7*V_TO (in case need)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</si>
</sst>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1"/>
      <charset val="2"/>
      <scheme val="minor"/>
    </font>
    <font>
      <b/>
      <sz val="12"/>
      <color theme="1"/>
      <name val="Symbol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73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2" fontId="6" fillId="3" borderId="1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3" borderId="0" xfId="0" applyFill="1"/>
    <xf numFmtId="164" fontId="6" fillId="6" borderId="1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 vertical="center"/>
    </xf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0" borderId="0" xfId="0" applyFont="1" applyAlignment="1">
      <alignment horizontal="center" vertical="center"/>
    </xf>
    <xf numFmtId="1" fontId="6" fillId="6" borderId="12" xfId="0" applyNumberFormat="1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6" fillId="2" borderId="12" xfId="0" applyFont="1" applyFill="1" applyBorder="1"/>
    <xf numFmtId="0" fontId="6" fillId="2" borderId="12" xfId="0" applyFont="1" applyFill="1" applyBorder="1" applyAlignment="1">
      <alignment horizontal="center"/>
    </xf>
    <xf numFmtId="0" fontId="7" fillId="2" borderId="12" xfId="0" applyFont="1" applyFill="1" applyBorder="1"/>
    <xf numFmtId="0" fontId="7" fillId="2" borderId="12" xfId="0" applyFont="1" applyFill="1" applyBorder="1" applyAlignment="1">
      <alignment horizontal="center"/>
    </xf>
    <xf numFmtId="0" fontId="6" fillId="0" borderId="12" xfId="0" applyFont="1" applyBorder="1"/>
    <xf numFmtId="0" fontId="7" fillId="6" borderId="12" xfId="0" applyFont="1" applyFill="1" applyBorder="1" applyAlignment="1">
      <alignment horizontal="center"/>
    </xf>
    <xf numFmtId="0" fontId="7" fillId="0" borderId="0" xfId="0" applyFont="1"/>
    <xf numFmtId="0" fontId="6" fillId="2" borderId="12" xfId="0" applyFont="1" applyFill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15" fillId="2" borderId="1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2" fontId="7" fillId="6" borderId="12" xfId="0" applyNumberFormat="1" applyFont="1" applyFill="1" applyBorder="1" applyAlignment="1">
      <alignment horizontal="center"/>
    </xf>
    <xf numFmtId="166" fontId="7" fillId="6" borderId="12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6" fillId="0" borderId="12" xfId="0" quotePrefix="1" applyFont="1" applyBorder="1" applyAlignment="1">
      <alignment horizontal="center"/>
    </xf>
    <xf numFmtId="0" fontId="7" fillId="0" borderId="12" xfId="0" quotePrefix="1" applyFont="1" applyBorder="1" applyAlignment="1">
      <alignment horizontal="center"/>
    </xf>
    <xf numFmtId="0" fontId="6" fillId="2" borderId="12" xfId="0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/>
    </xf>
    <xf numFmtId="4" fontId="6" fillId="2" borderId="12" xfId="0" applyNumberFormat="1" applyFont="1" applyFill="1" applyBorder="1" applyAlignment="1">
      <alignment horizontal="center"/>
    </xf>
    <xf numFmtId="2" fontId="7" fillId="2" borderId="12" xfId="0" applyNumberFormat="1" applyFont="1" applyFill="1" applyBorder="1" applyAlignment="1">
      <alignment horizontal="center"/>
    </xf>
    <xf numFmtId="4" fontId="7" fillId="2" borderId="12" xfId="0" applyNumberFormat="1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/>
    </xf>
    <xf numFmtId="1" fontId="6" fillId="6" borderId="12" xfId="0" applyNumberFormat="1" applyFont="1" applyFill="1" applyBorder="1" applyAlignment="1">
      <alignment horizontal="center"/>
    </xf>
    <xf numFmtId="2" fontId="6" fillId="6" borderId="12" xfId="0" applyNumberFormat="1" applyFont="1" applyFill="1" applyBorder="1" applyAlignment="1">
      <alignment horizontal="center"/>
    </xf>
    <xf numFmtId="164" fontId="6" fillId="6" borderId="12" xfId="0" applyNumberFormat="1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6" fillId="2" borderId="16" xfId="0" applyFont="1" applyFill="1" applyBorder="1"/>
    <xf numFmtId="0" fontId="6" fillId="2" borderId="16" xfId="0" applyFont="1" applyFill="1" applyBorder="1" applyAlignment="1">
      <alignment horizontal="center"/>
    </xf>
    <xf numFmtId="0" fontId="6" fillId="0" borderId="16" xfId="0" applyFont="1" applyBorder="1" applyAlignment="1">
      <alignment vertical="center"/>
    </xf>
    <xf numFmtId="0" fontId="6" fillId="0" borderId="16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6" fillId="0" borderId="16" xfId="0" quotePrefix="1" applyFont="1" applyBorder="1" applyAlignment="1">
      <alignment horizontal="center"/>
    </xf>
    <xf numFmtId="0" fontId="7" fillId="0" borderId="16" xfId="0" quotePrefix="1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6" fillId="2" borderId="17" xfId="0" applyFont="1" applyFill="1" applyBorder="1" applyAlignment="1">
      <alignment vertical="center"/>
    </xf>
    <xf numFmtId="0" fontId="6" fillId="2" borderId="16" xfId="0" quotePrefix="1" applyFont="1" applyFill="1" applyBorder="1" applyAlignment="1">
      <alignment horizontal="center"/>
    </xf>
    <xf numFmtId="0" fontId="6" fillId="2" borderId="17" xfId="0" quotePrefix="1" applyFont="1" applyFill="1" applyBorder="1" applyAlignment="1">
      <alignment horizontal="center"/>
    </xf>
    <xf numFmtId="164" fontId="7" fillId="2" borderId="17" xfId="0" applyNumberFormat="1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2" fontId="6" fillId="6" borderId="16" xfId="0" applyNumberFormat="1" applyFont="1" applyFill="1" applyBorder="1" applyAlignment="1">
      <alignment horizontal="center"/>
    </xf>
    <xf numFmtId="166" fontId="6" fillId="6" borderId="16" xfId="0" applyNumberFormat="1" applyFont="1" applyFill="1" applyBorder="1" applyAlignment="1">
      <alignment horizontal="center"/>
    </xf>
    <xf numFmtId="1" fontId="6" fillId="6" borderId="16" xfId="0" applyNumberFormat="1" applyFont="1" applyFill="1" applyBorder="1" applyAlignment="1">
      <alignment horizontal="center"/>
    </xf>
    <xf numFmtId="164" fontId="6" fillId="6" borderId="16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/>
    <row r="3" spans="1:15" ht="18.5">
      <c r="A3" s="12" t="s">
        <v>7</v>
      </c>
    </row>
    <row r="5" spans="1:15" ht="15.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>
      <c r="F18" s="10"/>
      <c r="G18" s="11"/>
      <c r="H18" s="10"/>
    </row>
    <row r="19" spans="6:15">
      <c r="F19" s="10"/>
      <c r="G19" s="11"/>
      <c r="H19" s="10"/>
    </row>
    <row r="20" spans="6:15">
      <c r="F20" s="10"/>
      <c r="G20" s="11"/>
      <c r="H20" s="10"/>
    </row>
    <row r="25" spans="6:15">
      <c r="G25" s="2"/>
      <c r="H25" s="2"/>
      <c r="I25" s="2"/>
      <c r="J25" s="2"/>
      <c r="K25" s="2"/>
      <c r="L25" s="2"/>
      <c r="M25" s="5"/>
      <c r="N25" s="5"/>
      <c r="O25" s="6"/>
    </row>
    <row r="45" spans="19:34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>
      <c r="B57" s="9"/>
    </row>
    <row r="58" spans="1:34" ht="18" customHeight="1">
      <c r="A58" s="9"/>
      <c r="B58" s="9"/>
    </row>
    <row r="59" spans="1:34" ht="18" customHeight="1">
      <c r="A59" s="9"/>
    </row>
    <row r="60" spans="1:34" ht="18" customHeight="1">
      <c r="A60" s="9"/>
    </row>
    <row r="61" spans="1:34" ht="18" customHeight="1"/>
    <row r="62" spans="1:34" ht="18" customHeight="1">
      <c r="A62" s="3"/>
    </row>
    <row r="63" spans="1:34" ht="18" customHeight="1">
      <c r="B63" s="4"/>
    </row>
    <row r="64" spans="1:34" ht="18" customHeight="1">
      <c r="B64" s="4"/>
    </row>
    <row r="65" spans="1:1" ht="18" customHeight="1"/>
    <row r="66" spans="1:1" ht="18" customHeight="1"/>
    <row r="67" spans="1:1" ht="18" customHeight="1">
      <c r="A67" s="3"/>
    </row>
    <row r="68" spans="1:1" ht="18" customHeight="1"/>
    <row r="69" spans="1:1" ht="18" customHeight="1"/>
    <row r="70" spans="1:1" ht="18" customHeight="1"/>
    <row r="71" spans="1:1" ht="18" customHeight="1"/>
    <row r="72" spans="1:1" ht="18" customHeight="1"/>
    <row r="73" spans="1:1" ht="18" customHeight="1"/>
    <row r="74" spans="1:1" ht="18" customHeight="1"/>
    <row r="75" spans="1:1" ht="18" customHeight="1"/>
    <row r="76" spans="1:1" ht="18" customHeight="1"/>
    <row r="77" spans="1:1" ht="18" customHeight="1"/>
    <row r="78" spans="1:1" ht="18" customHeight="1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M20" sqref="M20"/>
    </sheetView>
  </sheetViews>
  <sheetFormatPr defaultRowHeight="14.5"/>
  <cols>
    <col min="3" max="3" width="10.26953125" customWidth="1"/>
    <col min="6" max="6" width="9.6328125" customWidth="1"/>
    <col min="7" max="7" width="9.26953125" customWidth="1"/>
    <col min="9" max="9" width="10.36328125" customWidth="1"/>
  </cols>
  <sheetData>
    <row r="2" spans="2:9" ht="18.5">
      <c r="B2" s="154" t="s">
        <v>41</v>
      </c>
      <c r="C2" s="154"/>
      <c r="D2" s="154"/>
      <c r="E2" s="154"/>
      <c r="F2" s="154"/>
      <c r="G2" s="154"/>
      <c r="H2" s="154"/>
      <c r="I2" s="154"/>
    </row>
    <row r="3" spans="2:9">
      <c r="B3" s="161" t="s">
        <v>42</v>
      </c>
      <c r="C3" s="162"/>
      <c r="D3" s="159" t="s">
        <v>49</v>
      </c>
      <c r="E3" s="160"/>
      <c r="F3" s="44"/>
      <c r="G3" s="46"/>
      <c r="H3" s="46"/>
      <c r="I3" s="45"/>
    </row>
    <row r="4" spans="2:9">
      <c r="B4" s="33" t="s">
        <v>43</v>
      </c>
      <c r="C4" s="34"/>
      <c r="D4" s="42">
        <v>17</v>
      </c>
      <c r="E4" s="38" t="s">
        <v>59</v>
      </c>
      <c r="F4" s="155" t="s">
        <v>50</v>
      </c>
      <c r="G4" s="156"/>
      <c r="H4" s="36">
        <v>370</v>
      </c>
      <c r="I4" s="37" t="s">
        <v>63</v>
      </c>
    </row>
    <row r="5" spans="2:9">
      <c r="B5" s="33" t="s">
        <v>57</v>
      </c>
      <c r="C5" s="34"/>
      <c r="D5" s="42">
        <v>37.799999999999997</v>
      </c>
      <c r="E5" s="38" t="s">
        <v>58</v>
      </c>
      <c r="F5" s="157" t="s">
        <v>51</v>
      </c>
      <c r="G5" s="158"/>
      <c r="H5" s="35">
        <v>960</v>
      </c>
      <c r="I5" s="38" t="s">
        <v>63</v>
      </c>
    </row>
    <row r="6" spans="2:9">
      <c r="B6" s="33"/>
      <c r="C6" s="34"/>
      <c r="D6" s="42"/>
      <c r="E6" s="38"/>
      <c r="F6" s="157" t="s">
        <v>52</v>
      </c>
      <c r="G6" s="158"/>
      <c r="H6" s="35">
        <v>900</v>
      </c>
      <c r="I6" s="38" t="s">
        <v>63</v>
      </c>
    </row>
    <row r="7" spans="2:9">
      <c r="B7" s="33" t="s">
        <v>44</v>
      </c>
      <c r="C7" s="34"/>
      <c r="D7" s="42">
        <v>6</v>
      </c>
      <c r="E7" s="38" t="s">
        <v>60</v>
      </c>
      <c r="F7" s="43" t="s">
        <v>313</v>
      </c>
      <c r="G7" s="40"/>
      <c r="H7" s="39">
        <f>660</f>
        <v>660</v>
      </c>
      <c r="I7" s="40" t="s">
        <v>63</v>
      </c>
    </row>
    <row r="8" spans="2:9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246</v>
      </c>
    </row>
    <row r="10" spans="2:9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>
      <c r="F14" s="42" t="s">
        <v>163</v>
      </c>
      <c r="G14" s="35">
        <v>0.02</v>
      </c>
    </row>
    <row r="15" spans="2:9">
      <c r="B15" s="50" t="s">
        <v>69</v>
      </c>
      <c r="F15" s="42" t="s">
        <v>120</v>
      </c>
      <c r="G15" s="35">
        <v>6.2E-2</v>
      </c>
    </row>
    <row r="16" spans="2:9">
      <c r="B16" s="50" t="s">
        <v>70</v>
      </c>
    </row>
    <row r="17" spans="2:2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/>
  <cols>
    <col min="6" max="6" width="11.26953125" customWidth="1"/>
    <col min="11" max="12" width="9.90625" customWidth="1"/>
    <col min="13" max="13" width="9.7265625" customWidth="1"/>
  </cols>
  <sheetData>
    <row r="1" spans="1:27" ht="15.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64" t="s">
        <v>95</v>
      </c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</row>
    <row r="2" spans="1:27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163" t="s">
        <v>90</v>
      </c>
      <c r="R3" s="163" t="s">
        <v>91</v>
      </c>
      <c r="S3" t="s">
        <v>93</v>
      </c>
      <c r="T3" t="s">
        <v>92</v>
      </c>
      <c r="W3" t="s">
        <v>89</v>
      </c>
      <c r="X3" s="163" t="s">
        <v>90</v>
      </c>
      <c r="Y3" s="163" t="s">
        <v>91</v>
      </c>
      <c r="Z3" t="s">
        <v>93</v>
      </c>
      <c r="AA3" t="s">
        <v>92</v>
      </c>
    </row>
    <row r="4" spans="1:27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163"/>
      <c r="R4" s="163"/>
      <c r="W4" t="s">
        <v>84</v>
      </c>
      <c r="X4" s="163"/>
      <c r="Y4" s="163"/>
    </row>
    <row r="5" spans="1:27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G23" workbookViewId="0">
      <selection activeCell="I2" sqref="I2:Q53"/>
    </sheetView>
  </sheetViews>
  <sheetFormatPr defaultRowHeight="14.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>
      <c r="I54" s="2"/>
    </row>
    <row r="55" spans="9:27">
      <c r="I55" s="2"/>
    </row>
    <row r="56" spans="9:27">
      <c r="I56" s="2"/>
    </row>
    <row r="57" spans="9:27">
      <c r="I57" s="2"/>
    </row>
    <row r="58" spans="9:27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/>
  <cols>
    <col min="1" max="1" width="48.7265625" customWidth="1"/>
    <col min="4" max="4" width="12.7265625" customWidth="1"/>
  </cols>
  <sheetData>
    <row r="2" spans="1:7">
      <c r="A2" s="71" t="s">
        <v>133</v>
      </c>
    </row>
    <row r="3" spans="1:7">
      <c r="A3" s="71" t="s">
        <v>134</v>
      </c>
    </row>
    <row r="4" spans="1:7" ht="15" thickBot="1"/>
    <row r="5" spans="1:7" ht="16" thickBot="1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>
      <c r="A11" s="79"/>
      <c r="B11" s="80"/>
      <c r="C11" s="80"/>
      <c r="D11" s="80"/>
    </row>
    <row r="12" spans="1:7" ht="16" thickBot="1">
      <c r="A12" s="81" t="s">
        <v>143</v>
      </c>
      <c r="B12" s="73" t="s">
        <v>99</v>
      </c>
      <c r="C12" s="73"/>
      <c r="D12" s="73" t="s">
        <v>136</v>
      </c>
    </row>
    <row r="13" spans="1:7" ht="18" thickBot="1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>
      <c r="A21" s="83" t="s">
        <v>147</v>
      </c>
      <c r="B21" s="82" t="s">
        <v>148</v>
      </c>
      <c r="C21">
        <v>150</v>
      </c>
      <c r="D21" t="s">
        <v>149</v>
      </c>
    </row>
    <row r="22" spans="1:4" ht="15.5">
      <c r="A22" s="83" t="s">
        <v>150</v>
      </c>
      <c r="B22" s="82" t="s">
        <v>148</v>
      </c>
      <c r="C22">
        <v>175</v>
      </c>
      <c r="D22" t="s">
        <v>149</v>
      </c>
    </row>
    <row r="23" spans="1:4" ht="15.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B24" sqref="B24"/>
    </sheetView>
  </sheetViews>
  <sheetFormatPr defaultRowHeight="14.5"/>
  <cols>
    <col min="1" max="1" width="48.54296875" customWidth="1"/>
  </cols>
  <sheetData>
    <row r="2" spans="1:10">
      <c r="A2" s="84" t="s">
        <v>155</v>
      </c>
    </row>
    <row r="3" spans="1:10">
      <c r="A3" s="84" t="s">
        <v>156</v>
      </c>
    </row>
    <row r="4" spans="1:10" ht="15" thickBot="1">
      <c r="I4" t="s">
        <v>170</v>
      </c>
    </row>
    <row r="5" spans="1:10" ht="16" thickBot="1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>
      <c r="A17" s="88" t="s">
        <v>164</v>
      </c>
      <c r="B17">
        <v>260</v>
      </c>
      <c r="C17" t="s">
        <v>2</v>
      </c>
    </row>
    <row r="18" spans="1:3" ht="15.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>
      <c r="A23" t="s">
        <v>171</v>
      </c>
    </row>
    <row r="24" spans="1:3" ht="150.5" customHeight="1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5901-93A9-4242-AD8C-B45003116A09}">
  <dimension ref="A2:AH65"/>
  <sheetViews>
    <sheetView workbookViewId="0">
      <selection activeCell="D16" sqref="D16"/>
    </sheetView>
  </sheetViews>
  <sheetFormatPr defaultRowHeight="14.5"/>
  <cols>
    <col min="1" max="1" width="38.7265625" customWidth="1"/>
    <col min="4" max="5" width="12.7265625" customWidth="1"/>
    <col min="7" max="7" width="14.54296875" customWidth="1"/>
  </cols>
  <sheetData>
    <row r="2" spans="1:34">
      <c r="A2" s="165" t="s">
        <v>173</v>
      </c>
      <c r="B2" s="165"/>
    </row>
    <row r="3" spans="1:34">
      <c r="A3" s="165" t="s">
        <v>174</v>
      </c>
      <c r="B3" s="165"/>
    </row>
    <row r="4" spans="1:34" ht="15" thickBot="1"/>
    <row r="5" spans="1:34" ht="16" thickBot="1">
      <c r="A5" s="53" t="s">
        <v>175</v>
      </c>
      <c r="B5" s="54" t="s">
        <v>99</v>
      </c>
      <c r="C5" s="54" t="s">
        <v>100</v>
      </c>
      <c r="D5" s="54" t="s">
        <v>101</v>
      </c>
      <c r="E5" s="54" t="s">
        <v>176</v>
      </c>
      <c r="G5" s="92" t="s">
        <v>72</v>
      </c>
      <c r="H5" s="92">
        <v>0</v>
      </c>
      <c r="I5" s="92">
        <v>20000</v>
      </c>
      <c r="L5" s="99" t="s">
        <v>72</v>
      </c>
      <c r="M5" s="100">
        <v>0</v>
      </c>
      <c r="N5" s="100" t="s">
        <v>59</v>
      </c>
      <c r="O5" s="100" t="s">
        <v>73</v>
      </c>
      <c r="P5" s="101" cm="1">
        <f t="array" ref="P5">Linterp(M5,atmos_h,atmos_rho)</f>
        <v>2.3768800000000001E-3</v>
      </c>
      <c r="Q5" s="63"/>
      <c r="R5" s="64" t="s">
        <v>203</v>
      </c>
      <c r="S5" s="65"/>
      <c r="T5" s="63"/>
      <c r="U5" s="64" t="s">
        <v>204</v>
      </c>
      <c r="V5" s="65"/>
      <c r="X5" s="99" t="s">
        <v>72</v>
      </c>
      <c r="Y5" s="100">
        <v>20000</v>
      </c>
      <c r="Z5" s="100" t="s">
        <v>59</v>
      </c>
      <c r="AA5" s="100" t="s">
        <v>73</v>
      </c>
      <c r="AB5" s="101" cm="1">
        <f t="array" ref="AB5">Linterp(Y5,atmos_h,atmos_rho)</f>
        <v>1.2664069179837817E-3</v>
      </c>
      <c r="AC5" s="63"/>
      <c r="AD5" s="64" t="s">
        <v>203</v>
      </c>
      <c r="AE5" s="65"/>
      <c r="AF5" s="63"/>
      <c r="AG5" s="64" t="s">
        <v>204</v>
      </c>
      <c r="AH5" s="65"/>
    </row>
    <row r="6" spans="1:34" ht="16" thickBot="1">
      <c r="A6" s="58" t="s">
        <v>177</v>
      </c>
      <c r="B6" s="56" t="s">
        <v>178</v>
      </c>
      <c r="C6" s="56" t="s">
        <v>4</v>
      </c>
      <c r="D6" s="95">
        <f>(60)*SQRT(W*H$7/(S*3*H$8*CD0))*POWER(H$6/W,3/2)*(1 - H$7/6 - 3/(2*H$7*POWER(H$6/W,2)*POWER(LD_max,2)))</f>
        <v>2190.1336406350474</v>
      </c>
      <c r="E6" s="95">
        <f>(60)*SQRT(W*I$7/(S*3*I$8*CD0))*POWER(I$6/W,3/2)*(1 - I$7/6 - 3/(2*I$7*POWER(I$6/W,2)*POWER(LD_max,2)))</f>
        <v>824.69012933719421</v>
      </c>
      <c r="G6" s="92" t="s">
        <v>193</v>
      </c>
      <c r="H6">
        <f>T_max_SL</f>
        <v>202</v>
      </c>
      <c r="I6" cm="1">
        <f t="array" ref="I6">T_max_SL*Linterp(I5,atmos_h,atmos_dr)</f>
        <v>107.62604651169764</v>
      </c>
      <c r="J6" t="s">
        <v>63</v>
      </c>
      <c r="L6" s="63" t="s">
        <v>123</v>
      </c>
      <c r="M6" s="64" t="s">
        <v>77</v>
      </c>
      <c r="N6" s="64" t="s">
        <v>124</v>
      </c>
      <c r="O6" s="64" t="s">
        <v>125</v>
      </c>
      <c r="P6" s="65" t="s">
        <v>126</v>
      </c>
      <c r="Q6" s="66" t="s">
        <v>198</v>
      </c>
      <c r="R6" s="19" t="s">
        <v>200</v>
      </c>
      <c r="S6" s="67" t="s">
        <v>201</v>
      </c>
      <c r="T6" s="66" t="s">
        <v>198</v>
      </c>
      <c r="U6" s="19" t="s">
        <v>200</v>
      </c>
      <c r="V6" s="67" t="s">
        <v>201</v>
      </c>
      <c r="X6" s="63" t="s">
        <v>123</v>
      </c>
      <c r="Y6" s="64" t="s">
        <v>77</v>
      </c>
      <c r="Z6" s="64" t="s">
        <v>124</v>
      </c>
      <c r="AA6" s="64" t="s">
        <v>125</v>
      </c>
      <c r="AB6" s="65" t="s">
        <v>126</v>
      </c>
      <c r="AC6" s="66" t="s">
        <v>198</v>
      </c>
      <c r="AD6" s="19" t="s">
        <v>200</v>
      </c>
      <c r="AE6" s="67" t="s">
        <v>201</v>
      </c>
      <c r="AF6" s="66" t="s">
        <v>198</v>
      </c>
      <c r="AG6" s="19" t="s">
        <v>200</v>
      </c>
      <c r="AH6" s="67" t="s">
        <v>201</v>
      </c>
    </row>
    <row r="7" spans="1:34" ht="16" thickBot="1">
      <c r="A7" s="58" t="s">
        <v>179</v>
      </c>
      <c r="B7" s="56" t="s">
        <v>106</v>
      </c>
      <c r="C7" s="56" t="s">
        <v>4</v>
      </c>
      <c r="D7" s="95">
        <f>SQRT(H$6*W*H$7/(W*S*3*H$8*CD0))</f>
        <v>283.05413224136589</v>
      </c>
      <c r="E7" s="95">
        <f>SQRT(I$6*W*I$7/(W*S*3*I$8*CD0))</f>
        <v>301.65942842272062</v>
      </c>
      <c r="G7" s="92" t="s">
        <v>192</v>
      </c>
      <c r="H7">
        <f>1 +SQRT(1 + 3/(POWER(H6/W,2)*POWER(LD_max,2)))</f>
        <v>2.1381488503738399</v>
      </c>
      <c r="I7">
        <f>1 +SQRT(1 + 3/(POWER(I6/W,2)*POWER(LD_max,2)))</f>
        <v>2.4284700109042099</v>
      </c>
      <c r="L7" s="96" t="s">
        <v>84</v>
      </c>
      <c r="M7" s="97"/>
      <c r="N7" s="97"/>
      <c r="O7" s="97"/>
      <c r="P7" s="98" t="s">
        <v>63</v>
      </c>
      <c r="Q7" s="96" t="s">
        <v>199</v>
      </c>
      <c r="R7" s="97" t="s">
        <v>205</v>
      </c>
      <c r="S7" s="98" t="s">
        <v>205</v>
      </c>
      <c r="T7" s="96" t="s">
        <v>199</v>
      </c>
      <c r="U7" s="97" t="s">
        <v>205</v>
      </c>
      <c r="V7" s="98" t="s">
        <v>205</v>
      </c>
      <c r="X7" s="96" t="s">
        <v>84</v>
      </c>
      <c r="Y7" s="97"/>
      <c r="Z7" s="97"/>
      <c r="AA7" s="97"/>
      <c r="AB7" s="98" t="s">
        <v>63</v>
      </c>
      <c r="AC7" s="96" t="s">
        <v>199</v>
      </c>
      <c r="AD7" s="97" t="s">
        <v>205</v>
      </c>
      <c r="AE7" s="98" t="s">
        <v>205</v>
      </c>
      <c r="AF7" s="96" t="s">
        <v>199</v>
      </c>
      <c r="AG7" s="97" t="s">
        <v>205</v>
      </c>
      <c r="AH7" s="98" t="s">
        <v>205</v>
      </c>
    </row>
    <row r="8" spans="1:34" ht="16" thickBot="1">
      <c r="A8" s="58" t="s">
        <v>107</v>
      </c>
      <c r="B8" s="59" t="s">
        <v>108</v>
      </c>
      <c r="C8" s="56" t="s">
        <v>6</v>
      </c>
      <c r="D8" s="93">
        <f>D7/H$9</f>
        <v>0.25353050494098783</v>
      </c>
      <c r="E8" s="93">
        <f>E7/I$9</f>
        <v>0.29093734376585989</v>
      </c>
      <c r="G8" s="92" t="s">
        <v>194</v>
      </c>
      <c r="H8" cm="1">
        <f t="array" ref="H8">Linterp(H5,atmos_h,atmos_rho)</f>
        <v>2.3768800000000001E-3</v>
      </c>
      <c r="I8" cm="1">
        <f t="array" ref="I8">Linterp(I5,atmos_h,atmos_rho)</f>
        <v>1.2664069179837817E-3</v>
      </c>
      <c r="J8" t="s">
        <v>196</v>
      </c>
      <c r="L8" s="68">
        <f>50</f>
        <v>50</v>
      </c>
      <c r="M8" cm="1">
        <f t="array" ref="M8">L8/Linterp(M$5,atmos_h,atmos_aspeed)</f>
        <v>4.4784808992789644E-2</v>
      </c>
      <c r="N8" cm="1">
        <f t="array" ref="N8">1*W/(S*0.5*Linterp(M$5,atmos_h,atmos_rho)*L8*L8)</f>
        <v>8.0137066438436317</v>
      </c>
      <c r="O8">
        <f t="shared" ref="O8:O39" si="0">CD0+K*N8*N8</f>
        <v>4.001608638762181</v>
      </c>
      <c r="P8">
        <f t="shared" ref="P8:P56" si="1">W*O8/N8</f>
        <v>449.41098232647465</v>
      </c>
      <c r="Q8">
        <f t="shared" ref="Q8:Q39" si="2">DEGREES(ASIN(($H$11-P8)/W))</f>
        <v>-15.956119949134919</v>
      </c>
      <c r="R8">
        <f>L8*COS(RADIANS(Q8))*60</f>
        <v>2884.4175337766756</v>
      </c>
      <c r="S8">
        <f>L8*SIN(RADIANS(Q8))*60</f>
        <v>-824.70327442158214</v>
      </c>
      <c r="T8">
        <f t="shared" ref="T8:T39" si="3">DEGREES(ASIN((P8)/W))</f>
        <v>29.956710442532174</v>
      </c>
      <c r="U8">
        <f>L8*COS(RADIANS(T8))*60</f>
        <v>2599.2087876556102</v>
      </c>
      <c r="V8" s="69">
        <f>L8*SIN(RADIANS(T8))*60</f>
        <v>1498.0366077549154</v>
      </c>
      <c r="X8" s="68">
        <f>50</f>
        <v>50</v>
      </c>
      <c r="Y8" cm="1">
        <f t="array" ref="Y8">X8/Linterp($Y$5,atmos_h,atmos_aspeed)</f>
        <v>4.8222816254588324E-2</v>
      </c>
      <c r="Z8" cm="1">
        <f t="array" ref="Z8">1*W/(S*0.5*Linterp($Y$5,atmos_h,atmos_rho)*X8*X8)</f>
        <v>15.040678297892072</v>
      </c>
      <c r="AA8">
        <f t="shared" ref="AA8:AA39" si="4">CD0+K*Z8*Z8</f>
        <v>14.045764226962255</v>
      </c>
      <c r="AB8">
        <f t="shared" ref="AB8:AB65" si="5">W*AA8/Z8</f>
        <v>840.46660355987228</v>
      </c>
      <c r="AC8">
        <f t="shared" ref="AC8:AC39" si="6">DEGREES(ASIN(($I$11-AB8)/W))</f>
        <v>-54.514977049263116</v>
      </c>
      <c r="AD8">
        <f>X8*COS(RADIANS(AC8))*60</f>
        <v>1741.4703811094073</v>
      </c>
      <c r="AE8">
        <f>X8*SIN(RADIANS(AC8))*60</f>
        <v>-2442.8018568272491</v>
      </c>
      <c r="AF8">
        <f t="shared" ref="AF8:AF39" si="7">DEGREES(ASIN((AB8)/W))</f>
        <v>69.043427086191556</v>
      </c>
      <c r="AG8">
        <f>X8*COS(RADIANS(AF8))*60</f>
        <v>1072.9807303878733</v>
      </c>
      <c r="AH8" s="69">
        <f>X8*SIN(RADIANS(AF8))*60</f>
        <v>2801.5553451995738</v>
      </c>
    </row>
    <row r="9" spans="1:34" ht="16" thickBot="1">
      <c r="A9" s="58" t="s">
        <v>180</v>
      </c>
      <c r="B9" s="56" t="s">
        <v>181</v>
      </c>
      <c r="C9" s="56" t="s">
        <v>5</v>
      </c>
      <c r="D9" s="94">
        <f>DEGREES(ASIN(H$6/W - 1/LD_max))</f>
        <v>8.859800200250513</v>
      </c>
      <c r="E9" s="94">
        <f>DEGREES(ASIN(I$6/W - 1/LD_max))</f>
        <v>2.8176372856884582</v>
      </c>
      <c r="G9" s="92" t="s">
        <v>195</v>
      </c>
      <c r="H9" cm="1">
        <f t="array" ref="H9">Linterp(H5,atmos_h,atmos_aspeed)</f>
        <v>1116.45</v>
      </c>
      <c r="I9" cm="1">
        <f t="array" ref="I9">Linterp(I5,atmos_h,atmos_aspeed)</f>
        <v>1036.8535868172689</v>
      </c>
      <c r="J9" t="s">
        <v>152</v>
      </c>
      <c r="L9" s="68">
        <f>10+L8</f>
        <v>60</v>
      </c>
      <c r="M9" cm="1">
        <f t="array" ref="M9">L9/Linterp(M$5,atmos_h,atmos_aspeed)</f>
        <v>5.3741770791347572E-2</v>
      </c>
      <c r="N9" cm="1">
        <f t="array" ref="N9">1*W/(S*0.5*Linterp(M$5,atmos_h,atmos_rho)*L9*L9)</f>
        <v>5.5650740582247442</v>
      </c>
      <c r="O9">
        <f t="shared" si="0"/>
        <v>1.9401430549586136</v>
      </c>
      <c r="P9">
        <f t="shared" si="1"/>
        <v>313.76559075294074</v>
      </c>
      <c r="Q9">
        <f t="shared" si="2"/>
        <v>-7.1336346704514426</v>
      </c>
      <c r="R9">
        <f t="shared" ref="R9:R65" si="8">L9*COS(RADIANS(Q9))*60</f>
        <v>3572.1331503148563</v>
      </c>
      <c r="S9">
        <f t="shared" ref="S9:S65" si="9">L9*SIN(RADIANS(Q9))*60</f>
        <v>-447.06236301176295</v>
      </c>
      <c r="T9">
        <f t="shared" si="3"/>
        <v>20.40344695043461</v>
      </c>
      <c r="U9">
        <f t="shared" ref="U9:U65" si="10">L9*COS(RADIANS(T9))*60</f>
        <v>3374.1396629291044</v>
      </c>
      <c r="V9" s="69">
        <f t="shared" ref="V9:V65" si="11">L9*SIN(RADIANS(T9))*60</f>
        <v>1255.062363011763</v>
      </c>
      <c r="X9" s="68">
        <f>10+X8</f>
        <v>60</v>
      </c>
      <c r="Y9" cm="1">
        <f t="array" ref="Y9">X9/Linterp($Y$5,atmos_h,atmos_aspeed)</f>
        <v>5.7867379505505988E-2</v>
      </c>
      <c r="Z9" cm="1">
        <f t="array" ref="Z9">1*W/(S*0.5*Linterp($Y$5,atmos_h,atmos_rho)*X9*X9)</f>
        <v>10.444915484647272</v>
      </c>
      <c r="AA9">
        <f t="shared" si="4"/>
        <v>6.7839680878483088</v>
      </c>
      <c r="AB9">
        <f t="shared" si="5"/>
        <v>584.54961057730998</v>
      </c>
      <c r="AC9">
        <f t="shared" si="6"/>
        <v>-31.999716709875408</v>
      </c>
      <c r="AD9">
        <f t="shared" ref="AD9:AD65" si="12">X9*COS(RADIANS(AC9))*60</f>
        <v>3052.9825784997956</v>
      </c>
      <c r="AE9">
        <f t="shared" ref="AE9:AE65" si="13">X9*SIN(RADIANS(AC9))*60</f>
        <v>-1907.6942562624497</v>
      </c>
      <c r="AF9">
        <f t="shared" si="7"/>
        <v>40.50388201243269</v>
      </c>
      <c r="AG9">
        <f t="shared" ref="AG9:AG65" si="14">X9*COS(RADIANS(AF9))*60</f>
        <v>2737.3030603830925</v>
      </c>
      <c r="AH9" s="69">
        <f t="shared" ref="AH9:AH65" si="15">X9*SIN(RADIANS(AF9))*60</f>
        <v>2338.1984423092395</v>
      </c>
    </row>
    <row r="10" spans="1:34" ht="16" thickBot="1">
      <c r="A10" s="58" t="s">
        <v>182</v>
      </c>
      <c r="B10" s="56" t="s">
        <v>106</v>
      </c>
      <c r="C10" s="56" t="s">
        <v>4</v>
      </c>
      <c r="D10" s="95">
        <f>SQRT( (2/H$8)*SQRT(K/CD0)*(W/S)*COS(RADIANS(D$9))  )</f>
        <v>186.68980517670207</v>
      </c>
      <c r="E10" s="95">
        <f>SQRT( (2/I$8)*SQRT(K/CD0)*(W/S)*COS(RADIANS(E$9))  )</f>
        <v>257.14699914770023</v>
      </c>
      <c r="G10" s="92" t="s">
        <v>197</v>
      </c>
      <c r="H10">
        <f>0.25*POWER(3/(K*POWER(CD0,1/3)),3/4)</f>
        <v>12.196344518266748</v>
      </c>
      <c r="I10">
        <f>0.25*POWER(3/(K*POWER(CD0,1/3)),3/4)</f>
        <v>12.196344518266748</v>
      </c>
      <c r="L10" s="68">
        <f t="shared" ref="L10:L35" si="16">10+L9</f>
        <v>70</v>
      </c>
      <c r="M10" cm="1">
        <f t="array" ref="M10">L10/Linterp(M$5,atmos_h,atmos_aspeed)</f>
        <v>6.2698732589905506E-2</v>
      </c>
      <c r="N10" cm="1">
        <f t="array" ref="N10">1*W/(S*0.5*Linterp(M$5,atmos_h,atmos_rho)*L10*L10)</f>
        <v>4.0886258386957302</v>
      </c>
      <c r="O10">
        <f t="shared" si="0"/>
        <v>1.0564453974287225</v>
      </c>
      <c r="P10">
        <f t="shared" si="1"/>
        <v>232.54777893522174</v>
      </c>
      <c r="Q10">
        <f t="shared" si="2"/>
        <v>-1.9451056081960805</v>
      </c>
      <c r="R10">
        <f t="shared" si="8"/>
        <v>4197.5799814710226</v>
      </c>
      <c r="S10">
        <f t="shared" si="9"/>
        <v>-142.55630169770146</v>
      </c>
      <c r="T10">
        <f t="shared" si="3"/>
        <v>14.974339596377146</v>
      </c>
      <c r="U10">
        <f t="shared" si="10"/>
        <v>4057.3749036704048</v>
      </c>
      <c r="V10" s="69">
        <f t="shared" si="11"/>
        <v>1085.2229683643682</v>
      </c>
      <c r="X10" s="68">
        <f t="shared" ref="X10:X35" si="17">10+X9</f>
        <v>70</v>
      </c>
      <c r="Y10" cm="1">
        <f t="array" ref="Y10">X10/Linterp($Y$5,atmos_h,atmos_aspeed)</f>
        <v>6.7511942756423651E-2</v>
      </c>
      <c r="Z10" cm="1">
        <f t="array" ref="Z10">1*W/(S*0.5*Linterp($Y$5,atmos_h,atmos_rho)*X10*X10)</f>
        <v>7.6738154581081988</v>
      </c>
      <c r="AA10">
        <f t="shared" si="4"/>
        <v>3.6710215084762212</v>
      </c>
      <c r="AB10">
        <f t="shared" si="5"/>
        <v>430.54454145592706</v>
      </c>
      <c r="AC10">
        <f t="shared" si="6"/>
        <v>-21.026415545082319</v>
      </c>
      <c r="AD10">
        <f t="shared" si="12"/>
        <v>3920.3434450185459</v>
      </c>
      <c r="AE10">
        <f t="shared" si="13"/>
        <v>-1506.9529764064036</v>
      </c>
      <c r="AF10">
        <f t="shared" si="7"/>
        <v>28.579834857966588</v>
      </c>
      <c r="AG10">
        <f t="shared" si="14"/>
        <v>3688.235862143476</v>
      </c>
      <c r="AH10" s="69">
        <f t="shared" si="15"/>
        <v>2009.2078601276594</v>
      </c>
    </row>
    <row r="11" spans="1:34" ht="16" thickBot="1">
      <c r="A11" s="58" t="s">
        <v>107</v>
      </c>
      <c r="B11" s="59" t="s">
        <v>108</v>
      </c>
      <c r="C11" s="56" t="s">
        <v>6</v>
      </c>
      <c r="D11" s="93">
        <f>D10/H$9</f>
        <v>0.16721734531479426</v>
      </c>
      <c r="E11" s="93">
        <f>E10/I$9</f>
        <v>0.24800704980636656</v>
      </c>
      <c r="G11" s="92" t="s">
        <v>202</v>
      </c>
      <c r="H11">
        <f>T_max_SL</f>
        <v>202</v>
      </c>
      <c r="I11" cm="1">
        <f t="array" ref="I11">T_max_SL*Linterp(I5,atmos_h,atmos_dr)</f>
        <v>107.62604651169764</v>
      </c>
      <c r="L11" s="68">
        <f t="shared" si="16"/>
        <v>80</v>
      </c>
      <c r="M11" cm="1">
        <f t="array" ref="M11">L11/Linterp(M$5,atmos_h,atmos_aspeed)</f>
        <v>7.1655694388463434E-2</v>
      </c>
      <c r="N11" cm="1">
        <f t="array" ref="N11">1*W/(S*0.5*Linterp(M$5,atmos_h,atmos_rho)*L11*L11)</f>
        <v>3.1303541577514187</v>
      </c>
      <c r="O11">
        <f t="shared" si="0"/>
        <v>0.62754526348299877</v>
      </c>
      <c r="P11">
        <f t="shared" si="1"/>
        <v>180.42391009852915</v>
      </c>
      <c r="Q11">
        <f t="shared" si="2"/>
        <v>1.3737081497830357</v>
      </c>
      <c r="R11">
        <f t="shared" si="8"/>
        <v>4798.6204605560952</v>
      </c>
      <c r="S11">
        <f t="shared" si="9"/>
        <v>115.07247947451123</v>
      </c>
      <c r="T11">
        <f t="shared" si="3"/>
        <v>11.564503831044522</v>
      </c>
      <c r="U11">
        <f t="shared" si="10"/>
        <v>4702.5582451609134</v>
      </c>
      <c r="V11" s="69">
        <f t="shared" si="11"/>
        <v>962.2608538588222</v>
      </c>
      <c r="X11" s="68">
        <f t="shared" si="17"/>
        <v>80</v>
      </c>
      <c r="Y11" cm="1">
        <f t="array" ref="Y11">X11/Linterp($Y$5,atmos_h,atmos_aspeed)</f>
        <v>7.7156506007341322E-2</v>
      </c>
      <c r="Z11" cm="1">
        <f t="array" ref="Z11">1*W/(S*0.5*Linterp($Y$5,atmos_h,atmos_rho)*X11*X11)</f>
        <v>5.8752649601140909</v>
      </c>
      <c r="AA11">
        <f t="shared" si="4"/>
        <v>2.1601617777957545</v>
      </c>
      <c r="AB11">
        <f t="shared" si="5"/>
        <v>330.90347639035264</v>
      </c>
      <c r="AC11">
        <f t="shared" si="6"/>
        <v>-14.364282346965728</v>
      </c>
      <c r="AD11">
        <f t="shared" si="12"/>
        <v>4649.9424185507241</v>
      </c>
      <c r="AE11">
        <f t="shared" si="13"/>
        <v>-1190.8129593528267</v>
      </c>
      <c r="AF11">
        <f t="shared" si="7"/>
        <v>21.572024341701674</v>
      </c>
      <c r="AG11">
        <f t="shared" si="14"/>
        <v>4463.7893675923115</v>
      </c>
      <c r="AH11" s="69">
        <f t="shared" si="15"/>
        <v>1764.8185407485469</v>
      </c>
    </row>
    <row r="12" spans="1:34" ht="16" thickBot="1">
      <c r="A12" s="53" t="s">
        <v>183</v>
      </c>
      <c r="B12" s="54" t="s">
        <v>99</v>
      </c>
      <c r="C12" s="54" t="s">
        <v>100</v>
      </c>
      <c r="D12" s="54" t="s">
        <v>101</v>
      </c>
      <c r="E12" s="54" t="s">
        <v>176</v>
      </c>
      <c r="L12" s="68">
        <f t="shared" si="16"/>
        <v>90</v>
      </c>
      <c r="M12" cm="1">
        <f t="array" ref="M12">L12/Linterp(M$5,atmos_h,atmos_aspeed)</f>
        <v>8.0612656187021361E-2</v>
      </c>
      <c r="N12" cm="1">
        <f t="array" ref="N12">1*W/(S*0.5*Linterp(M$5,atmos_h,atmos_rho)*L12*L12)</f>
        <v>2.4733662480998859</v>
      </c>
      <c r="O12">
        <f t="shared" si="0"/>
        <v>0.39928751702886178</v>
      </c>
      <c r="P12">
        <f t="shared" si="1"/>
        <v>145.29136782797363</v>
      </c>
      <c r="Q12">
        <f t="shared" si="2"/>
        <v>3.6125767921995933</v>
      </c>
      <c r="R12">
        <f t="shared" si="8"/>
        <v>5389.269775891572</v>
      </c>
      <c r="S12">
        <f t="shared" si="9"/>
        <v>340.25179303215828</v>
      </c>
      <c r="T12">
        <f t="shared" si="3"/>
        <v>9.2901900397216579</v>
      </c>
      <c r="U12">
        <f t="shared" si="10"/>
        <v>5329.1702040419341</v>
      </c>
      <c r="V12" s="69">
        <f t="shared" si="11"/>
        <v>871.74820696784172</v>
      </c>
      <c r="X12" s="68">
        <f t="shared" si="17"/>
        <v>90</v>
      </c>
      <c r="Y12" cm="1">
        <f t="array" ref="Y12">X12/Linterp($Y$5,atmos_h,atmos_aspeed)</f>
        <v>8.6801069258258978E-2</v>
      </c>
      <c r="Z12" cm="1">
        <f t="array" ref="Z12">1*W/(S*0.5*Linterp($Y$5,atmos_h,atmos_rho)*X12*X12)</f>
        <v>4.6421846598432319</v>
      </c>
      <c r="AA12">
        <f t="shared" si="4"/>
        <v>1.356092461797197</v>
      </c>
      <c r="AB12">
        <f t="shared" si="5"/>
        <v>262.91138872073509</v>
      </c>
      <c r="AC12">
        <f t="shared" si="6"/>
        <v>-9.9354904684675915</v>
      </c>
      <c r="AD12">
        <f t="shared" si="12"/>
        <v>5319.0142554632057</v>
      </c>
      <c r="AE12">
        <f t="shared" si="13"/>
        <v>-931.71205325422477</v>
      </c>
      <c r="AF12">
        <f t="shared" si="7"/>
        <v>16.985145611035129</v>
      </c>
      <c r="AG12">
        <f t="shared" si="14"/>
        <v>5164.4548270377627</v>
      </c>
      <c r="AH12" s="69">
        <f t="shared" si="15"/>
        <v>1577.4683323244105</v>
      </c>
    </row>
    <row r="13" spans="1:34" ht="16" thickBot="1">
      <c r="A13" s="58" t="s">
        <v>184</v>
      </c>
      <c r="B13" s="56" t="s">
        <v>178</v>
      </c>
      <c r="C13" s="56" t="s">
        <v>4</v>
      </c>
      <c r="D13" s="95">
        <f>SQRT(2*W/(S*H8*POWER(H10,2)))*60</f>
        <v>696.31907299937473</v>
      </c>
      <c r="E13" s="95">
        <f>SQRT(2*W/(S*I8*POWER(I10,2)))*60</f>
        <v>953.9492748410911</v>
      </c>
      <c r="L13" s="68">
        <f t="shared" si="16"/>
        <v>100</v>
      </c>
      <c r="M13" cm="1">
        <f t="array" ref="M13">L13/Linterp(M$5,atmos_h,atmos_aspeed)</f>
        <v>8.9569617985579289E-2</v>
      </c>
      <c r="N13" cm="1">
        <f t="array" ref="N13">1*W/(S*0.5*Linterp(M$5,atmos_h,atmos_rho)*L13*L13)</f>
        <v>2.0034266609609079</v>
      </c>
      <c r="O13">
        <f t="shared" si="0"/>
        <v>0.2688505399226363</v>
      </c>
      <c r="P13">
        <f t="shared" si="1"/>
        <v>120.77581408161865</v>
      </c>
      <c r="Q13">
        <f t="shared" si="2"/>
        <v>5.1779375273923671</v>
      </c>
      <c r="R13">
        <f t="shared" si="8"/>
        <v>5975.5153441054626</v>
      </c>
      <c r="S13">
        <f t="shared" si="9"/>
        <v>541.49457278920909</v>
      </c>
      <c r="T13">
        <f t="shared" si="3"/>
        <v>7.7120934041921796</v>
      </c>
      <c r="U13">
        <f t="shared" si="10"/>
        <v>5945.7293832835167</v>
      </c>
      <c r="V13" s="69">
        <f t="shared" si="11"/>
        <v>805.17209387745754</v>
      </c>
      <c r="X13" s="68">
        <f t="shared" si="17"/>
        <v>100</v>
      </c>
      <c r="Y13" cm="1">
        <f t="array" ref="Y13">X13/Linterp($Y$5,atmos_h,atmos_aspeed)</f>
        <v>9.6445632509176649E-2</v>
      </c>
      <c r="Z13" cm="1">
        <f t="array" ref="Z13">1*W/(S*0.5*Linterp($Y$5,atmos_h,atmos_rho)*X13*X13)</f>
        <v>3.7601695744730179</v>
      </c>
      <c r="AA13">
        <f t="shared" si="4"/>
        <v>0.896610264185141</v>
      </c>
      <c r="AB13">
        <f t="shared" si="5"/>
        <v>214.6044804055731</v>
      </c>
      <c r="AC13">
        <f t="shared" si="6"/>
        <v>-6.8265988028588271</v>
      </c>
      <c r="AD13">
        <f t="shared" si="12"/>
        <v>5957.4626018562776</v>
      </c>
      <c r="AE13">
        <f t="shared" si="13"/>
        <v>-713.18955929250308</v>
      </c>
      <c r="AF13">
        <f t="shared" si="7"/>
        <v>13.79504209215159</v>
      </c>
      <c r="AG13">
        <f t="shared" si="14"/>
        <v>5826.9295020423315</v>
      </c>
      <c r="AH13" s="69">
        <f t="shared" si="15"/>
        <v>1430.6965360371544</v>
      </c>
    </row>
    <row r="14" spans="1:34" ht="16" thickBot="1">
      <c r="A14" s="58" t="s">
        <v>185</v>
      </c>
      <c r="B14" s="56" t="s">
        <v>106</v>
      </c>
      <c r="C14" s="56" t="s">
        <v>4</v>
      </c>
      <c r="D14" s="95">
        <f>SQRT( (2/H8)*SQRT(K/(3*CD0))*W/S)</f>
        <v>142.70751188191321</v>
      </c>
      <c r="E14" s="95">
        <f>SQRT( (2/I8)*SQRT(K/(3*CD0))*W/S)</f>
        <v>195.50768139629821</v>
      </c>
      <c r="L14" s="68">
        <f t="shared" si="16"/>
        <v>110</v>
      </c>
      <c r="M14" cm="1">
        <f t="array" ref="M14">L14/Linterp(M$5,atmos_h,atmos_aspeed)</f>
        <v>9.8526579784137217E-2</v>
      </c>
      <c r="N14" cm="1">
        <f t="array" ref="N14">1*W/(S*0.5*Linterp(M$5,atmos_h,atmos_rho)*L14*L14)</f>
        <v>1.6557245131908329</v>
      </c>
      <c r="O14">
        <f t="shared" si="0"/>
        <v>0.18996826714202325</v>
      </c>
      <c r="P14">
        <f t="shared" si="1"/>
        <v>103.26080158004847</v>
      </c>
      <c r="Q14">
        <f t="shared" si="2"/>
        <v>6.2986113244673305</v>
      </c>
      <c r="R14">
        <f t="shared" si="8"/>
        <v>6560.1598576098959</v>
      </c>
      <c r="S14">
        <f t="shared" si="9"/>
        <v>724.08745507964466</v>
      </c>
      <c r="T14">
        <f t="shared" si="3"/>
        <v>6.588295737568628</v>
      </c>
      <c r="U14">
        <f t="shared" si="10"/>
        <v>6556.4150783692612</v>
      </c>
      <c r="V14" s="69">
        <f t="shared" si="11"/>
        <v>757.24587825368883</v>
      </c>
      <c r="X14" s="68">
        <f t="shared" si="17"/>
        <v>110</v>
      </c>
      <c r="Y14" cm="1">
        <f t="array" ref="Y14">X14/Linterp($Y$5,atmos_h,atmos_aspeed)</f>
        <v>0.10609019576009431</v>
      </c>
      <c r="Z14" cm="1">
        <f t="array" ref="Z14">1*W/(S*0.5*Linterp($Y$5,atmos_h,atmos_rho)*X14*X14)</f>
        <v>3.1075781607215021</v>
      </c>
      <c r="AA14">
        <f t="shared" si="4"/>
        <v>0.61873660554958054</v>
      </c>
      <c r="AB14">
        <f t="shared" si="5"/>
        <v>179.19515332973404</v>
      </c>
      <c r="AC14">
        <f t="shared" si="6"/>
        <v>-4.5610465487391272</v>
      </c>
      <c r="AD14">
        <f t="shared" si="12"/>
        <v>6579.0989392118463</v>
      </c>
      <c r="AE14">
        <f t="shared" si="13"/>
        <v>-524.84011666560014</v>
      </c>
      <c r="AF14">
        <f t="shared" si="7"/>
        <v>11.484669198229735</v>
      </c>
      <c r="AG14">
        <f t="shared" si="14"/>
        <v>6467.8548990732825</v>
      </c>
      <c r="AH14" s="69">
        <f t="shared" si="15"/>
        <v>1314.0977910847164</v>
      </c>
    </row>
    <row r="15" spans="1:34" ht="16" thickBot="1">
      <c r="A15" s="58" t="s">
        <v>107</v>
      </c>
      <c r="B15" s="59" t="s">
        <v>108</v>
      </c>
      <c r="C15" s="56" t="s">
        <v>6</v>
      </c>
      <c r="D15" s="93">
        <f>D14/H$9</f>
        <v>0.12782257322935484</v>
      </c>
      <c r="E15" s="93">
        <f>E14/I$9</f>
        <v>0.18855861992668568</v>
      </c>
      <c r="L15" s="68">
        <f t="shared" si="16"/>
        <v>120</v>
      </c>
      <c r="M15" cm="1">
        <f t="array" ref="M15">L15/Linterp(M$5,atmos_h,atmos_aspeed)</f>
        <v>0.10748354158269514</v>
      </c>
      <c r="N15" cm="1">
        <f t="array" ref="N15">1*W/(S*0.5*Linterp(M$5,atmos_h,atmos_rho)*L15*L15)</f>
        <v>1.3912685145561861</v>
      </c>
      <c r="O15">
        <f t="shared" si="0"/>
        <v>0.14000894093491334</v>
      </c>
      <c r="P15">
        <f t="shared" si="1"/>
        <v>90.570616328235175</v>
      </c>
      <c r="Q15">
        <f t="shared" si="2"/>
        <v>7.1120645971711278</v>
      </c>
      <c r="R15">
        <f t="shared" si="8"/>
        <v>7144.6024044092164</v>
      </c>
      <c r="S15">
        <f t="shared" si="9"/>
        <v>891.43506937411848</v>
      </c>
      <c r="T15">
        <f t="shared" si="3"/>
        <v>5.7756812191059552</v>
      </c>
      <c r="U15">
        <f t="shared" si="10"/>
        <v>7163.4492851772957</v>
      </c>
      <c r="V15" s="69">
        <f t="shared" si="11"/>
        <v>724.5649306258814</v>
      </c>
      <c r="X15" s="68">
        <f t="shared" si="17"/>
        <v>120</v>
      </c>
      <c r="Y15" cm="1">
        <f t="array" ref="Y15">X15/Linterp($Y$5,atmos_h,atmos_aspeed)</f>
        <v>0.11573475901101198</v>
      </c>
      <c r="Z15" cm="1">
        <f t="array" ref="Z15">1*W/(S*0.5*Linterp($Y$5,atmos_h,atmos_rho)*X15*X15)</f>
        <v>2.6112288711618179</v>
      </c>
      <c r="AA15">
        <f t="shared" si="4"/>
        <v>0.44274800549051935</v>
      </c>
      <c r="AB15">
        <f t="shared" si="5"/>
        <v>152.59987714679878</v>
      </c>
      <c r="AC15">
        <f t="shared" si="6"/>
        <v>-2.8643159038970283</v>
      </c>
      <c r="AD15">
        <f t="shared" si="12"/>
        <v>7191.0048457578123</v>
      </c>
      <c r="AE15">
        <f t="shared" si="13"/>
        <v>-359.7906450808091</v>
      </c>
      <c r="AF15">
        <f t="shared" si="7"/>
        <v>9.7619711951804486</v>
      </c>
      <c r="AG15">
        <f t="shared" si="14"/>
        <v>7095.7487102959085</v>
      </c>
      <c r="AH15" s="69">
        <f t="shared" si="15"/>
        <v>1220.7990171743902</v>
      </c>
    </row>
    <row r="16" spans="1:34" ht="16" thickBot="1">
      <c r="A16" s="58" t="s">
        <v>186</v>
      </c>
      <c r="B16" s="56" t="s">
        <v>181</v>
      </c>
      <c r="C16" s="56" t="s">
        <v>5</v>
      </c>
      <c r="D16" s="94">
        <f>DEGREES(ATAN( 1/LD_max ))</f>
        <v>4.0285334654862854</v>
      </c>
      <c r="E16" s="94">
        <f>DEGREES(ATAN( 1/LD_max ))</f>
        <v>4.0285334654862854</v>
      </c>
      <c r="L16" s="68">
        <f t="shared" si="16"/>
        <v>130</v>
      </c>
      <c r="M16" cm="1">
        <f t="array" ref="M16">L16/Linterp(M$5,atmos_h,atmos_aspeed)</f>
        <v>0.11644050338125307</v>
      </c>
      <c r="N16" cm="1">
        <f t="array" ref="N16">1*W/(S*0.5*Linterp(M$5,atmos_h,atmos_rho)*L16*L16)</f>
        <v>1.1854595626987621</v>
      </c>
      <c r="O16">
        <f t="shared" si="0"/>
        <v>0.10712949123722429</v>
      </c>
      <c r="P16">
        <f t="shared" si="1"/>
        <v>81.332628414590914</v>
      </c>
      <c r="Q16">
        <f t="shared" si="2"/>
        <v>7.7051267834863646</v>
      </c>
      <c r="R16">
        <f t="shared" si="8"/>
        <v>7729.5754127595756</v>
      </c>
      <c r="S16">
        <f t="shared" si="9"/>
        <v>1045.7838870735454</v>
      </c>
      <c r="T16">
        <f t="shared" si="3"/>
        <v>5.1848695168753753</v>
      </c>
      <c r="U16">
        <f t="shared" si="10"/>
        <v>7768.0847232141505</v>
      </c>
      <c r="V16" s="69">
        <f t="shared" si="11"/>
        <v>704.88277959312143</v>
      </c>
      <c r="X16" s="68">
        <f t="shared" si="17"/>
        <v>130</v>
      </c>
      <c r="Y16" cm="1">
        <f t="array" ref="Y16">X16/Linterp($Y$5,atmos_h,atmos_aspeed)</f>
        <v>0.12537932226192963</v>
      </c>
      <c r="Z16" cm="1">
        <f t="array" ref="Z16">1*W/(S*0.5*Linterp($Y$5,atmos_h,atmos_rho)*X16*X16)</f>
        <v>2.2249524109307797</v>
      </c>
      <c r="AA16">
        <f t="shared" si="4"/>
        <v>0.32692562031621475</v>
      </c>
      <c r="AB16">
        <f t="shared" si="5"/>
        <v>132.24240520340149</v>
      </c>
      <c r="AC16">
        <f t="shared" si="6"/>
        <v>-1.5673215283206285</v>
      </c>
      <c r="AD16">
        <f t="shared" si="12"/>
        <v>7797.0818443120015</v>
      </c>
      <c r="AE16">
        <f t="shared" si="13"/>
        <v>-213.34177532810008</v>
      </c>
      <c r="AF16">
        <f t="shared" si="7"/>
        <v>8.4494051139987221</v>
      </c>
      <c r="AG16">
        <f t="shared" si="14"/>
        <v>7715.3388035049948</v>
      </c>
      <c r="AH16" s="69">
        <f t="shared" si="15"/>
        <v>1146.1008450961465</v>
      </c>
    </row>
    <row r="17" spans="1:34" ht="16" thickBot="1">
      <c r="A17" s="58" t="s">
        <v>187</v>
      </c>
      <c r="B17" s="56" t="s">
        <v>106</v>
      </c>
      <c r="C17" s="56" t="s">
        <v>4</v>
      </c>
      <c r="D17" s="95">
        <f>SQRT( (2/H8)*SQRT(K/(CD0))*W/S)</f>
        <v>187.81364784089499</v>
      </c>
      <c r="E17" s="95">
        <f>SQRT( (2/I8)*SQRT(K/(CD0))*W/S)</f>
        <v>257.3025788182635</v>
      </c>
      <c r="L17" s="68">
        <f t="shared" si="16"/>
        <v>140</v>
      </c>
      <c r="M17" cm="1">
        <f t="array" ref="M17">L17/Linterp(M$5,atmos_h,atmos_aspeed)</f>
        <v>0.12539746517981101</v>
      </c>
      <c r="N17" cm="1">
        <f t="array" ref="N17">1*W/(S*0.5*Linterp(M$5,atmos_h,atmos_rho)*L17*L17)</f>
        <v>1.0221564596739325</v>
      </c>
      <c r="O17">
        <f t="shared" si="0"/>
        <v>8.4777837339295156E-2</v>
      </c>
      <c r="P17">
        <f t="shared" si="1"/>
        <v>74.646158993805443</v>
      </c>
      <c r="Q17">
        <f t="shared" si="2"/>
        <v>8.1349010940832329</v>
      </c>
      <c r="R17">
        <f t="shared" si="8"/>
        <v>8315.4762231361219</v>
      </c>
      <c r="S17">
        <f t="shared" si="9"/>
        <v>1188.6358493911493</v>
      </c>
      <c r="T17">
        <f t="shared" si="3"/>
        <v>4.7575873756280007</v>
      </c>
      <c r="U17">
        <f t="shared" si="10"/>
        <v>8371.0580344343944</v>
      </c>
      <c r="V17" s="69">
        <f t="shared" si="11"/>
        <v>696.69748394218414</v>
      </c>
      <c r="X17" s="68">
        <f t="shared" si="17"/>
        <v>140</v>
      </c>
      <c r="Y17" cm="1">
        <f t="array" ref="Y17">X17/Linterp($Y$5,atmos_h,atmos_aspeed)</f>
        <v>0.1350238855128473</v>
      </c>
      <c r="Z17" cm="1">
        <f t="array" ref="Z17">1*W/(S*0.5*Linterp($Y$5,atmos_h,atmos_rho)*X17*X17)</f>
        <v>1.9184538645270497</v>
      </c>
      <c r="AA17">
        <f t="shared" si="4"/>
        <v>0.24818884427976382</v>
      </c>
      <c r="AB17">
        <f t="shared" si="5"/>
        <v>116.43228121456761</v>
      </c>
      <c r="AC17">
        <f t="shared" si="6"/>
        <v>-0.56063125928710678</v>
      </c>
      <c r="AD17">
        <f t="shared" si="12"/>
        <v>8399.5978804583301</v>
      </c>
      <c r="AE17">
        <f t="shared" si="13"/>
        <v>-82.191523893453081</v>
      </c>
      <c r="AF17">
        <f t="shared" si="7"/>
        <v>7.4331424066700134</v>
      </c>
      <c r="AG17">
        <f t="shared" si="14"/>
        <v>8329.4105615828994</v>
      </c>
      <c r="AH17" s="69">
        <f t="shared" si="15"/>
        <v>1086.7012913359642</v>
      </c>
    </row>
    <row r="18" spans="1:34" ht="16" thickBot="1">
      <c r="A18" s="58" t="s">
        <v>107</v>
      </c>
      <c r="B18" s="59" t="s">
        <v>108</v>
      </c>
      <c r="C18" s="56" t="s">
        <v>6</v>
      </c>
      <c r="D18" s="93">
        <f>D17/H$9</f>
        <v>0.16822396689587082</v>
      </c>
      <c r="E18" s="93">
        <f>E17/I$9</f>
        <v>0.248157099603697</v>
      </c>
      <c r="L18" s="68">
        <f t="shared" si="16"/>
        <v>150</v>
      </c>
      <c r="M18" cm="1">
        <f t="array" ref="M18">L18/Linterp(M$5,atmos_h,atmos_aspeed)</f>
        <v>0.13435442697836894</v>
      </c>
      <c r="N18" cm="1">
        <f t="array" ref="N18">1*W/(S*0.5*Linterp(M$5,atmos_h,atmos_rho)*L18*L18)</f>
        <v>0.89041184931595896</v>
      </c>
      <c r="O18">
        <f t="shared" si="0"/>
        <v>6.9155662206940499E-2</v>
      </c>
      <c r="P18">
        <f t="shared" si="1"/>
        <v>69.900345591830515</v>
      </c>
      <c r="Q18">
        <f t="shared" si="2"/>
        <v>8.4402177041746054</v>
      </c>
      <c r="R18">
        <f t="shared" si="8"/>
        <v>8902.5259410194485</v>
      </c>
      <c r="S18">
        <f t="shared" si="9"/>
        <v>1320.9965440816952</v>
      </c>
      <c r="T18">
        <f t="shared" si="3"/>
        <v>4.4544802520241484</v>
      </c>
      <c r="U18">
        <f t="shared" si="10"/>
        <v>8972.8141721878019</v>
      </c>
      <c r="V18" s="69">
        <f t="shared" si="11"/>
        <v>699.00345591830512</v>
      </c>
      <c r="X18" s="68">
        <f t="shared" si="17"/>
        <v>150</v>
      </c>
      <c r="Y18" cm="1">
        <f t="array" ref="Y18">X18/Linterp($Y$5,atmos_h,atmos_aspeed)</f>
        <v>0.14466844876376497</v>
      </c>
      <c r="Z18" cm="1">
        <f t="array" ref="Z18">1*W/(S*0.5*Linterp($Y$5,atmos_h,atmos_rho)*X18*X18)</f>
        <v>1.6711864775435632</v>
      </c>
      <c r="AA18">
        <f t="shared" si="4"/>
        <v>0.19315758304891667</v>
      </c>
      <c r="AB18">
        <f t="shared" si="5"/>
        <v>104.02299628438288</v>
      </c>
      <c r="AC18">
        <f t="shared" si="6"/>
        <v>0.22937791426839318</v>
      </c>
      <c r="AD18">
        <f t="shared" si="12"/>
        <v>8999.9278776502397</v>
      </c>
      <c r="AE18">
        <f t="shared" si="13"/>
        <v>36.030502273147533</v>
      </c>
      <c r="AF18">
        <f t="shared" si="7"/>
        <v>6.6371435343504119</v>
      </c>
      <c r="AG18">
        <f t="shared" si="14"/>
        <v>8939.6824118310797</v>
      </c>
      <c r="AH18" s="69">
        <f t="shared" si="15"/>
        <v>1040.2299628438288</v>
      </c>
    </row>
    <row r="19" spans="1:34">
      <c r="L19" s="68">
        <f t="shared" si="16"/>
        <v>160</v>
      </c>
      <c r="M19" cm="1">
        <f t="array" ref="M19">L19/Linterp(M$5,atmos_h,atmos_aspeed)</f>
        <v>0.14331138877692687</v>
      </c>
      <c r="N19" cm="1">
        <f t="array" ref="N19">1*W/(S*0.5*Linterp(M$5,atmos_h,atmos_rho)*L19*L19)</f>
        <v>0.78258853943785467</v>
      </c>
      <c r="O19">
        <f t="shared" si="0"/>
        <v>5.7971578967687426E-2</v>
      </c>
      <c r="P19">
        <f t="shared" si="1"/>
        <v>66.669032884632287</v>
      </c>
      <c r="Q19">
        <f t="shared" si="2"/>
        <v>8.6482382957267045</v>
      </c>
      <c r="R19">
        <f t="shared" si="8"/>
        <v>9490.8492890302277</v>
      </c>
      <c r="S19">
        <f t="shared" si="9"/>
        <v>1443.5303158972556</v>
      </c>
      <c r="T19">
        <f t="shared" si="3"/>
        <v>4.2481737198394161</v>
      </c>
      <c r="U19">
        <f t="shared" si="10"/>
        <v>9573.6244490064673</v>
      </c>
      <c r="V19" s="69">
        <f t="shared" si="11"/>
        <v>711.13635076941114</v>
      </c>
      <c r="X19" s="68">
        <f t="shared" si="17"/>
        <v>160</v>
      </c>
      <c r="Y19" cm="1">
        <f t="array" ref="Y19">X19/Linterp($Y$5,atmos_h,atmos_aspeed)</f>
        <v>0.15431301201468264</v>
      </c>
      <c r="Z19" cm="1">
        <f t="array" ref="Z19">1*W/(S*0.5*Linterp($Y$5,atmos_h,atmos_rho)*X19*X19)</f>
        <v>1.4688162400285227</v>
      </c>
      <c r="AA19">
        <f t="shared" si="4"/>
        <v>0.15376011111223464</v>
      </c>
      <c r="AB19">
        <f t="shared" si="5"/>
        <v>94.214712657537007</v>
      </c>
      <c r="AC19">
        <f t="shared" si="6"/>
        <v>0.85382363170907305</v>
      </c>
      <c r="AD19">
        <f t="shared" si="12"/>
        <v>9598.9340808193356</v>
      </c>
      <c r="AE19">
        <f t="shared" si="13"/>
        <v>143.05422777771341</v>
      </c>
      <c r="AF19">
        <f t="shared" si="7"/>
        <v>6.0089039575118415</v>
      </c>
      <c r="AG19">
        <f t="shared" si="14"/>
        <v>9547.2541371206735</v>
      </c>
      <c r="AH19" s="69">
        <f t="shared" si="15"/>
        <v>1004.9569350137281</v>
      </c>
    </row>
    <row r="20" spans="1:34" ht="15.5">
      <c r="A20" s="91" t="s">
        <v>211</v>
      </c>
      <c r="L20" s="68">
        <f t="shared" si="16"/>
        <v>170</v>
      </c>
      <c r="M20" cm="1">
        <f t="array" ref="M20">L20/Linterp(M$5,atmos_h,atmos_aspeed)</f>
        <v>0.1522683505754848</v>
      </c>
      <c r="N20" cm="1">
        <f t="array" ref="N20">1*W/(S*0.5*Linterp(M$5,atmos_h,atmos_rho)*L20*L20)</f>
        <v>0.69322721832557366</v>
      </c>
      <c r="O20">
        <f t="shared" si="0"/>
        <v>4.9794966526099577E-2</v>
      </c>
      <c r="P20">
        <f t="shared" si="1"/>
        <v>64.647591278567006</v>
      </c>
      <c r="Q20">
        <f t="shared" si="2"/>
        <v>8.7784298784974304</v>
      </c>
      <c r="R20">
        <f t="shared" si="8"/>
        <v>10080.516240561923</v>
      </c>
      <c r="S20">
        <f t="shared" si="9"/>
        <v>1556.6606321762408</v>
      </c>
      <c r="T20">
        <f t="shared" si="3"/>
        <v>4.1191408928002717</v>
      </c>
      <c r="U20">
        <f t="shared" si="10"/>
        <v>10173.651788467068</v>
      </c>
      <c r="V20" s="69">
        <f t="shared" si="11"/>
        <v>732.67270115709243</v>
      </c>
      <c r="X20" s="68">
        <f t="shared" si="17"/>
        <v>170</v>
      </c>
      <c r="Y20" cm="1">
        <f t="array" ref="Y20">X20/Linterp($Y$5,atmos_h,atmos_aspeed)</f>
        <v>0.16395757526560029</v>
      </c>
      <c r="Z20" cm="1">
        <f t="array" ref="Z20">1*W/(S*0.5*Linterp($Y$5,atmos_h,atmos_rho)*X20*X20)</f>
        <v>1.3010967385719785</v>
      </c>
      <c r="AA20">
        <f t="shared" si="4"/>
        <v>0.12495686883360364</v>
      </c>
      <c r="AB20">
        <f t="shared" si="5"/>
        <v>86.435680465754828</v>
      </c>
      <c r="AC20">
        <f t="shared" si="6"/>
        <v>1.3491452724724218</v>
      </c>
      <c r="AD20">
        <f t="shared" si="12"/>
        <v>10197.172371981829</v>
      </c>
      <c r="AE20">
        <f t="shared" si="13"/>
        <v>240.1574818540185</v>
      </c>
      <c r="AF20">
        <f t="shared" si="7"/>
        <v>5.5111607045148832</v>
      </c>
      <c r="AG20">
        <f t="shared" si="14"/>
        <v>10152.850597807714</v>
      </c>
      <c r="AH20" s="69">
        <f t="shared" si="15"/>
        <v>979.60437861188802</v>
      </c>
    </row>
    <row r="21" spans="1:34" ht="15.5">
      <c r="A21" s="91" t="s">
        <v>212</v>
      </c>
      <c r="L21" s="68">
        <f t="shared" si="16"/>
        <v>180</v>
      </c>
      <c r="M21" cm="1">
        <f t="array" ref="M21">L21/Linterp(M$5,atmos_h,atmos_aspeed)</f>
        <v>0.16122531237404272</v>
      </c>
      <c r="N21" cm="1">
        <f t="array" ref="N21">1*W/(S*0.5*Linterp(M$5,atmos_h,atmos_rho)*L21*L21)</f>
        <v>0.61834156202497148</v>
      </c>
      <c r="O21">
        <f t="shared" si="0"/>
        <v>4.3705469814303857E-2</v>
      </c>
      <c r="P21">
        <f t="shared" si="1"/>
        <v>63.613583896993404</v>
      </c>
      <c r="Q21">
        <f t="shared" si="2"/>
        <v>8.8450430705619336</v>
      </c>
      <c r="R21">
        <f t="shared" si="8"/>
        <v>10671.564307855519</v>
      </c>
      <c r="S21">
        <f t="shared" si="9"/>
        <v>1660.6369932360788</v>
      </c>
      <c r="T21">
        <f t="shared" si="3"/>
        <v>4.0531461791655436</v>
      </c>
      <c r="U21">
        <f t="shared" si="10"/>
        <v>10772.988300369789</v>
      </c>
      <c r="V21" s="69">
        <f t="shared" si="11"/>
        <v>763.36300676392079</v>
      </c>
      <c r="X21" s="68">
        <f t="shared" si="17"/>
        <v>180</v>
      </c>
      <c r="Y21" cm="1">
        <f t="array" ref="Y21">X21/Linterp($Y$5,atmos_h,atmos_aspeed)</f>
        <v>0.17360213851651796</v>
      </c>
      <c r="Z21" cm="1">
        <f t="array" ref="Z21">1*W/(S*0.5*Linterp($Y$5,atmos_h,atmos_rho)*X21*X21)</f>
        <v>1.160546164960808</v>
      </c>
      <c r="AA21">
        <f t="shared" si="4"/>
        <v>0.10350577886232482</v>
      </c>
      <c r="AB21">
        <f t="shared" si="5"/>
        <v>80.268414810744048</v>
      </c>
      <c r="AC21">
        <f t="shared" si="6"/>
        <v>1.7419092508890401</v>
      </c>
      <c r="AD21">
        <f t="shared" si="12"/>
        <v>10795.009246787655</v>
      </c>
      <c r="AE21">
        <f t="shared" si="13"/>
        <v>328.29158041144308</v>
      </c>
      <c r="AF21">
        <f t="shared" si="7"/>
        <v>5.1168448713863777</v>
      </c>
      <c r="AG21">
        <f t="shared" si="14"/>
        <v>10756.960785838299</v>
      </c>
      <c r="AH21" s="69">
        <f t="shared" si="15"/>
        <v>963.22097772892857</v>
      </c>
    </row>
    <row r="22" spans="1:34">
      <c r="L22" s="68">
        <f t="shared" si="16"/>
        <v>190</v>
      </c>
      <c r="M22" cm="1">
        <f t="array" ref="M22">L22/Linterp(M$5,atmos_h,atmos_aspeed)</f>
        <v>0.17018227417260065</v>
      </c>
      <c r="N22" cm="1">
        <f t="array" ref="N22">1*W/(S*0.5*Linterp(M$5,atmos_h,atmos_rho)*L22*L22)</f>
        <v>0.55496583406119326</v>
      </c>
      <c r="O22">
        <f t="shared" si="0"/>
        <v>3.9095198772464625E-2</v>
      </c>
      <c r="P22">
        <f t="shared" si="1"/>
        <v>63.401522644614573</v>
      </c>
      <c r="Q22">
        <f t="shared" si="2"/>
        <v>8.8587060425097892</v>
      </c>
      <c r="R22">
        <f t="shared" si="8"/>
        <v>11264.010669364256</v>
      </c>
      <c r="S22">
        <f t="shared" si="9"/>
        <v>1755.5807131682152</v>
      </c>
      <c r="T22">
        <f t="shared" si="3"/>
        <v>4.0396122037995221</v>
      </c>
      <c r="U22">
        <f t="shared" si="10"/>
        <v>11371.677666522803</v>
      </c>
      <c r="V22" s="69">
        <f t="shared" si="11"/>
        <v>803.08595349845143</v>
      </c>
      <c r="X22" s="68">
        <f t="shared" si="17"/>
        <v>190</v>
      </c>
      <c r="Y22" cm="1">
        <f t="array" ref="Y22">X22/Linterp($Y$5,atmos_h,atmos_aspeed)</f>
        <v>0.18324670176743563</v>
      </c>
      <c r="Z22" cm="1">
        <f t="array" ref="Z22">1*W/(S*0.5*Linterp($Y$5,atmos_h,atmos_rho)*X22*X22)</f>
        <v>1.0415982200756282</v>
      </c>
      <c r="AA22">
        <f t="shared" si="4"/>
        <v>8.7265464828012437E-2</v>
      </c>
      <c r="AB22">
        <f t="shared" si="5"/>
        <v>75.402316201643131</v>
      </c>
      <c r="AC22">
        <f t="shared" si="6"/>
        <v>2.0518649383418182</v>
      </c>
      <c r="AD22">
        <f t="shared" si="12"/>
        <v>11392.690617037862</v>
      </c>
      <c r="AE22">
        <f t="shared" si="13"/>
        <v>408.1672505940237</v>
      </c>
      <c r="AF22">
        <f t="shared" si="7"/>
        <v>4.805893972297322</v>
      </c>
      <c r="AG22">
        <f t="shared" si="14"/>
        <v>11359.920405566723</v>
      </c>
      <c r="AH22" s="69">
        <f t="shared" si="15"/>
        <v>955.09600522081291</v>
      </c>
    </row>
    <row r="23" spans="1:34">
      <c r="L23" s="68">
        <f t="shared" si="16"/>
        <v>200</v>
      </c>
      <c r="M23" cm="1">
        <f t="array" ref="M23">L23/Linterp(M$5,atmos_h,atmos_aspeed)</f>
        <v>0.17913923597115858</v>
      </c>
      <c r="N23" cm="1">
        <f t="array" ref="N23">1*W/(S*0.5*Linterp(M$5,atmos_h,atmos_rho)*L23*L23)</f>
        <v>0.50085666524022698</v>
      </c>
      <c r="O23">
        <f t="shared" si="0"/>
        <v>3.5553158745164772E-2</v>
      </c>
      <c r="P23">
        <f t="shared" si="1"/>
        <v>63.886227520404667</v>
      </c>
      <c r="Q23">
        <f t="shared" si="2"/>
        <v>8.8274775597034587</v>
      </c>
      <c r="R23">
        <f t="shared" si="8"/>
        <v>11857.858797543544</v>
      </c>
      <c r="S23">
        <f t="shared" si="9"/>
        <v>1841.5169663946044</v>
      </c>
      <c r="T23">
        <f t="shared" si="3"/>
        <v>4.0705469190423198</v>
      </c>
      <c r="U23">
        <f t="shared" si="10"/>
        <v>11969.728855618045</v>
      </c>
      <c r="V23" s="69">
        <f t="shared" si="11"/>
        <v>851.81636693872872</v>
      </c>
      <c r="X23" s="68">
        <f t="shared" si="17"/>
        <v>200</v>
      </c>
      <c r="Y23" cm="1">
        <f t="array" ref="Y23">X23/Linterp($Y$5,atmos_h,atmos_aspeed)</f>
        <v>0.1928912650183533</v>
      </c>
      <c r="Z23" cm="1">
        <f t="array" ref="Z23">1*W/(S*0.5*Linterp($Y$5,atmos_h,atmos_rho)*X23*X23)</f>
        <v>0.94004239361825448</v>
      </c>
      <c r="AA23">
        <f t="shared" si="4"/>
        <v>7.4788141511571316E-2</v>
      </c>
      <c r="AB23">
        <f t="shared" si="5"/>
        <v>71.602438163813389</v>
      </c>
      <c r="AC23">
        <f t="shared" si="6"/>
        <v>2.2939469346601031</v>
      </c>
      <c r="AD23">
        <f t="shared" si="12"/>
        <v>11990.383551582572</v>
      </c>
      <c r="AE23">
        <f t="shared" si="13"/>
        <v>480.31477797179014</v>
      </c>
      <c r="AF23">
        <f t="shared" si="7"/>
        <v>4.5631752324340829</v>
      </c>
      <c r="AG23">
        <f t="shared" si="14"/>
        <v>11961.962610051336</v>
      </c>
      <c r="AH23" s="69">
        <f t="shared" si="15"/>
        <v>954.69917551751189</v>
      </c>
    </row>
    <row r="24" spans="1:34">
      <c r="A24" t="s">
        <v>213</v>
      </c>
      <c r="L24" s="68">
        <f t="shared" si="16"/>
        <v>210</v>
      </c>
      <c r="M24" cm="1">
        <f t="array" ref="M24">L24/Linterp(M$5,atmos_h,atmos_aspeed)</f>
        <v>0.18809619776971651</v>
      </c>
      <c r="N24" cm="1">
        <f t="array" ref="N24">1*W/(S*0.5*Linterp(M$5,atmos_h,atmos_rho)*L24*L24)</f>
        <v>0.45429175985508113</v>
      </c>
      <c r="O24">
        <f t="shared" si="0"/>
        <v>3.2795622190478053E-2</v>
      </c>
      <c r="P24">
        <f t="shared" si="1"/>
        <v>64.971594423913515</v>
      </c>
      <c r="Q24">
        <f t="shared" si="2"/>
        <v>8.7575592973365808</v>
      </c>
      <c r="R24">
        <f t="shared" si="8"/>
        <v>12453.102037195151</v>
      </c>
      <c r="S24">
        <f t="shared" si="9"/>
        <v>1918.397678065211</v>
      </c>
      <c r="T24">
        <f t="shared" si="3"/>
        <v>4.1398212628608668</v>
      </c>
      <c r="U24">
        <f t="shared" si="10"/>
        <v>12567.124715539783</v>
      </c>
      <c r="V24" s="69">
        <f t="shared" si="11"/>
        <v>909.6023219347893</v>
      </c>
      <c r="X24" s="68">
        <f t="shared" si="17"/>
        <v>210</v>
      </c>
      <c r="Y24" cm="1">
        <f t="array" ref="Y24">X24/Linterp($Y$5,atmos_h,atmos_aspeed)</f>
        <v>0.20253582826927094</v>
      </c>
      <c r="Z24" cm="1">
        <f t="array" ref="Z24">1*W/(S*0.5*Linterp($Y$5,atmos_h,atmos_rho)*X24*X24)</f>
        <v>0.85264616201202204</v>
      </c>
      <c r="AA24">
        <f t="shared" si="4"/>
        <v>6.5074339610817544E-2</v>
      </c>
      <c r="AB24">
        <f t="shared" si="5"/>
        <v>68.688405881676871</v>
      </c>
      <c r="AC24">
        <f t="shared" si="6"/>
        <v>2.4796211519677898</v>
      </c>
      <c r="AD24">
        <f t="shared" si="12"/>
        <v>12588.20227784193</v>
      </c>
      <c r="AE24">
        <f t="shared" si="13"/>
        <v>545.12696882029059</v>
      </c>
      <c r="AF24">
        <f t="shared" si="7"/>
        <v>4.3770960586713308</v>
      </c>
      <c r="AG24">
        <f t="shared" si="14"/>
        <v>12563.250095731481</v>
      </c>
      <c r="AH24" s="69">
        <f t="shared" si="15"/>
        <v>961.63768234347617</v>
      </c>
    </row>
    <row r="25" spans="1:34">
      <c r="A25" t="s">
        <v>214</v>
      </c>
      <c r="L25" s="68">
        <f t="shared" si="16"/>
        <v>220</v>
      </c>
      <c r="M25" cm="1">
        <f t="array" ref="M25">L25/Linterp(M$5,atmos_h,atmos_aspeed)</f>
        <v>0.19705315956827443</v>
      </c>
      <c r="N25" cm="1">
        <f t="array" ref="N25">1*W/(S*0.5*Linterp(M$5,atmos_h,atmos_rho)*L25*L25)</f>
        <v>0.41393112829770823</v>
      </c>
      <c r="O25">
        <f t="shared" si="0"/>
        <v>3.0623016696376452E-2</v>
      </c>
      <c r="P25">
        <f t="shared" si="1"/>
        <v>66.582851935012116</v>
      </c>
      <c r="Q25">
        <f t="shared" si="2"/>
        <v>8.6537878838735374</v>
      </c>
      <c r="R25">
        <f t="shared" si="8"/>
        <v>13049.725461034097</v>
      </c>
      <c r="S25">
        <f t="shared" si="9"/>
        <v>1986.1181716198223</v>
      </c>
      <c r="T25">
        <f t="shared" si="3"/>
        <v>4.2426721745053699</v>
      </c>
      <c r="U25">
        <f t="shared" si="10"/>
        <v>13163.827446332687</v>
      </c>
      <c r="V25" s="69">
        <f t="shared" si="11"/>
        <v>976.54849504684432</v>
      </c>
      <c r="X25" s="68">
        <f t="shared" si="17"/>
        <v>220</v>
      </c>
      <c r="Y25" cm="1">
        <f t="array" ref="Y25">X25/Linterp($Y$5,atmos_h,atmos_aspeed)</f>
        <v>0.21218039152018861</v>
      </c>
      <c r="Z25" cm="1">
        <f t="array" ref="Z25">1*W/(S*0.5*Linterp($Y$5,atmos_h,atmos_rho)*X25*X25)</f>
        <v>0.77689454018037551</v>
      </c>
      <c r="AA25">
        <f t="shared" si="4"/>
        <v>5.742103784684878E-2</v>
      </c>
      <c r="AB25">
        <f t="shared" si="5"/>
        <v>66.519883187961838</v>
      </c>
      <c r="AC25">
        <f t="shared" si="6"/>
        <v>2.6178103282463177</v>
      </c>
      <c r="AD25">
        <f t="shared" si="12"/>
        <v>13186.224750515843</v>
      </c>
      <c r="AE25">
        <f t="shared" si="13"/>
        <v>602.89039541479167</v>
      </c>
      <c r="AF25">
        <f t="shared" si="7"/>
        <v>4.2386524545732147</v>
      </c>
      <c r="AG25">
        <f t="shared" si="14"/>
        <v>13163.895925988534</v>
      </c>
      <c r="AH25" s="69">
        <f t="shared" si="15"/>
        <v>975.6249534234405</v>
      </c>
    </row>
    <row r="26" spans="1:34">
      <c r="A26" t="s">
        <v>215</v>
      </c>
      <c r="L26" s="68">
        <f t="shared" si="16"/>
        <v>230</v>
      </c>
      <c r="M26" cm="1">
        <f t="array" ref="M26">L26/Linterp(M$5,atmos_h,atmos_aspeed)</f>
        <v>0.20601012136683236</v>
      </c>
      <c r="N26" cm="1">
        <f t="array" ref="N26">1*W/(S*0.5*Linterp(M$5,atmos_h,atmos_rho)*L26*L26)</f>
        <v>0.37871959564478413</v>
      </c>
      <c r="O26">
        <f t="shared" si="0"/>
        <v>2.8892568991771624E-2</v>
      </c>
      <c r="P26">
        <f t="shared" si="1"/>
        <v>68.661121292978947</v>
      </c>
      <c r="Q26">
        <f t="shared" si="2"/>
        <v>8.5199812228468499</v>
      </c>
      <c r="R26">
        <f t="shared" si="8"/>
        <v>13647.706738934512</v>
      </c>
      <c r="S26">
        <f t="shared" si="9"/>
        <v>2044.5294735076559</v>
      </c>
      <c r="T26">
        <f t="shared" si="3"/>
        <v>4.3753539888038304</v>
      </c>
      <c r="U26">
        <f t="shared" si="10"/>
        <v>13759.782121557599</v>
      </c>
      <c r="V26" s="69">
        <f t="shared" si="11"/>
        <v>1052.8038598256771</v>
      </c>
      <c r="X26" s="68">
        <f t="shared" si="17"/>
        <v>230</v>
      </c>
      <c r="Y26" cm="1">
        <f t="array" ref="Y26">X26/Linterp($Y$5,atmos_h,atmos_aspeed)</f>
        <v>0.22182495477110628</v>
      </c>
      <c r="Z26" cm="1">
        <f t="array" ref="Z26">1*W/(S*0.5*Linterp($Y$5,atmos_h,atmos_rho)*X26*X26)</f>
        <v>0.71080710292495608</v>
      </c>
      <c r="AA26">
        <f t="shared" si="4"/>
        <v>5.132529772925129E-2</v>
      </c>
      <c r="AB26">
        <f t="shared" si="5"/>
        <v>64.986362356599841</v>
      </c>
      <c r="AC26">
        <f t="shared" si="6"/>
        <v>2.7155431428962031</v>
      </c>
      <c r="AD26">
        <f t="shared" si="12"/>
        <v>13784.503417167751</v>
      </c>
      <c r="AE26">
        <f t="shared" si="13"/>
        <v>653.8084903781662</v>
      </c>
      <c r="AF26">
        <f t="shared" si="7"/>
        <v>4.1407638786407226</v>
      </c>
      <c r="AG26">
        <f t="shared" si="14"/>
        <v>13763.977344460518</v>
      </c>
      <c r="AH26" s="69">
        <f t="shared" si="15"/>
        <v>996.45755613453093</v>
      </c>
    </row>
    <row r="27" spans="1:34" ht="15.5">
      <c r="A27" s="91"/>
      <c r="L27" s="68">
        <f t="shared" si="16"/>
        <v>240</v>
      </c>
      <c r="M27" cm="1">
        <f t="array" ref="M27">L27/Linterp(M$5,atmos_h,atmos_aspeed)</f>
        <v>0.21496708316539029</v>
      </c>
      <c r="N27" cm="1">
        <f t="array" ref="N27">1*W/(S*0.5*Linterp(M$5,atmos_h,atmos_rho)*L27*L27)</f>
        <v>0.34781712863904651</v>
      </c>
      <c r="O27">
        <f t="shared" si="0"/>
        <v>2.7500558808432086E-2</v>
      </c>
      <c r="P27">
        <f t="shared" si="1"/>
        <v>71.159528642058802</v>
      </c>
      <c r="Q27">
        <f t="shared" si="2"/>
        <v>8.3591863995123816</v>
      </c>
      <c r="R27">
        <f t="shared" si="8"/>
        <v>14247.016438189328</v>
      </c>
      <c r="S27">
        <f t="shared" si="9"/>
        <v>2093.4475417270592</v>
      </c>
      <c r="T27">
        <f t="shared" si="3"/>
        <v>4.5348896316683787</v>
      </c>
      <c r="U27">
        <f t="shared" si="10"/>
        <v>14354.918958313929</v>
      </c>
      <c r="V27" s="69">
        <f t="shared" si="11"/>
        <v>1138.5524582729411</v>
      </c>
      <c r="X27" s="68">
        <f t="shared" si="17"/>
        <v>240</v>
      </c>
      <c r="Y27" cm="1">
        <f t="array" ref="Y27">X27/Linterp($Y$5,atmos_h,atmos_aspeed)</f>
        <v>0.23146951802202395</v>
      </c>
      <c r="Z27" cm="1">
        <f t="array" ref="Z27">1*W/(S*0.5*Linterp($Y$5,atmos_h,atmos_rho)*X27*X27)</f>
        <v>0.65280721779045447</v>
      </c>
      <c r="AA27">
        <f t="shared" si="4"/>
        <v>4.6421750343157459E-2</v>
      </c>
      <c r="AB27">
        <f t="shared" si="5"/>
        <v>63.99986729658464</v>
      </c>
      <c r="AC27">
        <f t="shared" si="6"/>
        <v>2.7784176203056616</v>
      </c>
      <c r="AD27">
        <f t="shared" si="12"/>
        <v>14383.072330371395</v>
      </c>
      <c r="AE27">
        <f t="shared" si="13"/>
        <v>698.01886744180797</v>
      </c>
      <c r="AF27">
        <f t="shared" si="7"/>
        <v>4.0777997805267532</v>
      </c>
      <c r="AG27">
        <f t="shared" si="14"/>
        <v>14363.545117707572</v>
      </c>
      <c r="AH27" s="69">
        <f t="shared" si="15"/>
        <v>1023.9978767453546</v>
      </c>
    </row>
    <row r="28" spans="1:34">
      <c r="L28" s="68">
        <f t="shared" si="16"/>
        <v>250</v>
      </c>
      <c r="M28" cm="1">
        <f t="array" ref="M28">L28/Linterp(M$5,atmos_h,atmos_aspeed)</f>
        <v>0.22392404496394822</v>
      </c>
      <c r="N28" cm="1">
        <f t="array" ref="N28">1*W/(S*0.5*Linterp(M$5,atmos_h,atmos_rho)*L28*L28)</f>
        <v>0.32054826575374529</v>
      </c>
      <c r="O28">
        <f t="shared" si="0"/>
        <v>2.6370573822019492E-2</v>
      </c>
      <c r="P28">
        <f t="shared" si="1"/>
        <v>74.040383229058975</v>
      </c>
      <c r="Q28">
        <f t="shared" si="2"/>
        <v>8.1738598712736241</v>
      </c>
      <c r="R28">
        <f t="shared" si="8"/>
        <v>14847.617995226577</v>
      </c>
      <c r="S28">
        <f t="shared" si="9"/>
        <v>2132.6602795156837</v>
      </c>
      <c r="T28">
        <f t="shared" si="3"/>
        <v>4.7188902437139806</v>
      </c>
      <c r="U28">
        <f t="shared" si="10"/>
        <v>14949.154766623784</v>
      </c>
      <c r="V28" s="69">
        <f t="shared" si="11"/>
        <v>1234.0063871509831</v>
      </c>
      <c r="X28" s="68">
        <f t="shared" si="17"/>
        <v>250</v>
      </c>
      <c r="Y28" cm="1">
        <f t="array" ref="Y28">X28/Linterp($Y$5,atmos_h,atmos_aspeed)</f>
        <v>0.24111408127294162</v>
      </c>
      <c r="Z28" cm="1">
        <f t="array" ref="Z28">1*W/(S*0.5*Linterp($Y$5,atmos_h,atmos_rho)*X28*X28)</f>
        <v>0.60162713191568284</v>
      </c>
      <c r="AA28">
        <f t="shared" si="4"/>
        <v>4.2441222763139608E-2</v>
      </c>
      <c r="AB28">
        <f t="shared" si="5"/>
        <v>63.48965739826194</v>
      </c>
      <c r="AC28">
        <f t="shared" si="6"/>
        <v>2.8109372682354383</v>
      </c>
      <c r="AD28">
        <f t="shared" si="12"/>
        <v>14981.951912180753</v>
      </c>
      <c r="AE28">
        <f t="shared" si="13"/>
        <v>735.6064852239283</v>
      </c>
      <c r="AF28">
        <f t="shared" si="7"/>
        <v>4.045237030343805</v>
      </c>
      <c r="AG28">
        <f t="shared" si="14"/>
        <v>14962.629962337758</v>
      </c>
      <c r="AH28" s="69">
        <f t="shared" si="15"/>
        <v>1058.160956637699</v>
      </c>
    </row>
    <row r="29" spans="1:34" ht="15" thickBot="1">
      <c r="L29" s="68">
        <f t="shared" si="16"/>
        <v>260</v>
      </c>
      <c r="M29" cm="1">
        <f t="array" ref="M29">L29/Linterp(M$5,atmos_h,atmos_aspeed)</f>
        <v>0.23288100676250614</v>
      </c>
      <c r="N29" cm="1">
        <f t="array" ref="N29">1*W/(S*0.5*Linterp(M$5,atmos_h,atmos_rho)*L29*L29)</f>
        <v>0.29636489067469052</v>
      </c>
      <c r="O29">
        <f t="shared" si="0"/>
        <v>2.5445593202326519E-2</v>
      </c>
      <c r="P29">
        <f t="shared" si="1"/>
        <v>77.273100163647726</v>
      </c>
      <c r="Q29">
        <f t="shared" si="2"/>
        <v>7.9660002703822883</v>
      </c>
      <c r="R29">
        <f t="shared" si="8"/>
        <v>15449.467499044544</v>
      </c>
      <c r="S29">
        <f t="shared" si="9"/>
        <v>2161.9329304967723</v>
      </c>
      <c r="T29">
        <f t="shared" si="3"/>
        <v>4.9254225433228003</v>
      </c>
      <c r="U29">
        <f t="shared" si="10"/>
        <v>15542.393849110929</v>
      </c>
      <c r="V29" s="69">
        <f t="shared" si="11"/>
        <v>1339.4004028365603</v>
      </c>
      <c r="X29" s="68">
        <f t="shared" si="17"/>
        <v>260</v>
      </c>
      <c r="Y29" cm="1">
        <f t="array" ref="Y29">X29/Linterp($Y$5,atmos_h,atmos_aspeed)</f>
        <v>0.25075864452385926</v>
      </c>
      <c r="Z29" cm="1">
        <f t="array" ref="Z29">1*W/(S*0.5*Linterp($Y$5,atmos_h,atmos_rho)*X29*X29)</f>
        <v>0.55623810273269492</v>
      </c>
      <c r="AA29">
        <f t="shared" si="4"/>
        <v>3.9182851269763425E-2</v>
      </c>
      <c r="AB29">
        <f t="shared" si="5"/>
        <v>63.398328826340361</v>
      </c>
      <c r="AC29">
        <f t="shared" si="6"/>
        <v>2.816758444287125</v>
      </c>
      <c r="AD29">
        <f t="shared" si="12"/>
        <v>15581.152182130831</v>
      </c>
      <c r="AE29">
        <f t="shared" si="13"/>
        <v>766.61377321285954</v>
      </c>
      <c r="AF29">
        <f t="shared" si="7"/>
        <v>4.0394083726375518</v>
      </c>
      <c r="AG29">
        <f t="shared" si="14"/>
        <v>15561.24703208826</v>
      </c>
      <c r="AH29" s="69">
        <f t="shared" si="15"/>
        <v>1098.904366323233</v>
      </c>
    </row>
    <row r="30" spans="1:34" ht="16" thickBot="1">
      <c r="A30" s="53" t="s">
        <v>188</v>
      </c>
      <c r="B30" s="54" t="s">
        <v>99</v>
      </c>
      <c r="C30" s="54" t="s">
        <v>100</v>
      </c>
      <c r="D30" s="90" t="s">
        <v>72</v>
      </c>
      <c r="E30" t="s">
        <v>209</v>
      </c>
      <c r="L30" s="68">
        <f t="shared" si="16"/>
        <v>270</v>
      </c>
      <c r="M30" cm="1">
        <f t="array" ref="M30">L30/Linterp(M$5,atmos_h,atmos_aspeed)</f>
        <v>0.24183796856106407</v>
      </c>
      <c r="N30" cm="1">
        <f t="array" ref="N30">1*W/(S*0.5*Linterp(M$5,atmos_h,atmos_rho)*L30*L30)</f>
        <v>0.27481847201109849</v>
      </c>
      <c r="O30">
        <f t="shared" si="0"/>
        <v>2.4682561938627924E-2</v>
      </c>
      <c r="P30">
        <f t="shared" si="1"/>
        <v>80.832651394219269</v>
      </c>
      <c r="Q30">
        <f t="shared" si="2"/>
        <v>7.7372475295816781</v>
      </c>
      <c r="R30">
        <f t="shared" si="8"/>
        <v>16052.513368837848</v>
      </c>
      <c r="S30">
        <f t="shared" si="9"/>
        <v>2181.0122749040534</v>
      </c>
      <c r="T30">
        <f t="shared" si="3"/>
        <v>5.1529100263258529</v>
      </c>
      <c r="U30">
        <f t="shared" si="10"/>
        <v>16134.528524869267</v>
      </c>
      <c r="V30" s="69">
        <f t="shared" si="11"/>
        <v>1454.9877250959466</v>
      </c>
      <c r="X30" s="68">
        <f t="shared" si="17"/>
        <v>270</v>
      </c>
      <c r="Y30" cm="1">
        <f t="array" ref="Y30">X30/Linterp($Y$5,atmos_h,atmos_aspeed)</f>
        <v>0.26040320777477693</v>
      </c>
      <c r="Z30" cm="1">
        <f t="array" ref="Z30">1*W/(S*0.5*Linterp($Y$5,atmos_h,atmos_rho)*X30*X30)</f>
        <v>0.51579829553813683</v>
      </c>
      <c r="AA30">
        <f t="shared" si="4"/>
        <v>3.6494968664162922E-2</v>
      </c>
      <c r="AB30">
        <f t="shared" si="5"/>
        <v>63.678907204372727</v>
      </c>
      <c r="AC30">
        <f t="shared" si="6"/>
        <v>2.7988747999345782</v>
      </c>
      <c r="AD30">
        <f t="shared" si="12"/>
        <v>16180.674963014724</v>
      </c>
      <c r="AE30">
        <f t="shared" si="13"/>
        <v>791.04850753184837</v>
      </c>
      <c r="AF30">
        <f t="shared" si="7"/>
        <v>4.0573152279357139</v>
      </c>
      <c r="AG30">
        <f t="shared" si="14"/>
        <v>16159.399090183744</v>
      </c>
      <c r="AH30" s="69">
        <f t="shared" si="15"/>
        <v>1146.220329678709</v>
      </c>
    </row>
    <row r="31" spans="1:34" ht="16" thickBot="1">
      <c r="A31" s="58" t="s">
        <v>189</v>
      </c>
      <c r="B31" s="56" t="s">
        <v>59</v>
      </c>
      <c r="C31" s="56" t="s">
        <v>3</v>
      </c>
      <c r="D31" s="103">
        <f>(B$36-E31)/(-B$37)</f>
        <v>32079.447044328139</v>
      </c>
      <c r="E31">
        <v>0</v>
      </c>
      <c r="L31" s="68">
        <f t="shared" si="16"/>
        <v>280</v>
      </c>
      <c r="M31" cm="1">
        <f t="array" ref="M31">L31/Linterp(M$5,atmos_h,atmos_aspeed)</f>
        <v>0.25079493035962203</v>
      </c>
      <c r="N31" cm="1">
        <f t="array" ref="N31">1*W/(S*0.5*Linterp(M$5,atmos_h,atmos_rho)*L31*L31)</f>
        <v>0.25553911491848313</v>
      </c>
      <c r="O31">
        <f t="shared" si="0"/>
        <v>2.4048614833705947E-2</v>
      </c>
      <c r="P31">
        <f t="shared" si="1"/>
        <v>84.698396788451348</v>
      </c>
      <c r="Q31">
        <f t="shared" si="2"/>
        <v>7.4889577340699702</v>
      </c>
      <c r="R31">
        <f t="shared" si="8"/>
        <v>16656.695974426304</v>
      </c>
      <c r="S31">
        <f t="shared" si="9"/>
        <v>2189.6299266155747</v>
      </c>
      <c r="T31">
        <f t="shared" si="3"/>
        <v>5.4000584977083443</v>
      </c>
      <c r="U31">
        <f t="shared" si="10"/>
        <v>16725.439391137341</v>
      </c>
      <c r="V31" s="69">
        <f t="shared" si="11"/>
        <v>1581.0367400510922</v>
      </c>
      <c r="X31" s="68">
        <f t="shared" si="17"/>
        <v>280</v>
      </c>
      <c r="Y31" cm="1">
        <f t="array" ref="Y31">X31/Linterp($Y$5,atmos_h,atmos_aspeed)</f>
        <v>0.27004777102569461</v>
      </c>
      <c r="Z31" cm="1">
        <f t="array" ref="Z31">1*W/(S*0.5*Linterp($Y$5,atmos_h,atmos_rho)*X31*X31)</f>
        <v>0.47961346613176242</v>
      </c>
      <c r="AA31">
        <f t="shared" si="4"/>
        <v>3.4261802767485236E-2</v>
      </c>
      <c r="AB31">
        <f t="shared" si="5"/>
        <v>64.292653705985302</v>
      </c>
      <c r="AC31">
        <f t="shared" si="6"/>
        <v>2.7597564687622635</v>
      </c>
      <c r="AD31">
        <f t="shared" si="12"/>
        <v>16780.515396418941</v>
      </c>
      <c r="AE31">
        <f t="shared" si="13"/>
        <v>808.88999903996353</v>
      </c>
      <c r="AF31">
        <f t="shared" si="7"/>
        <v>4.0964866668038011</v>
      </c>
      <c r="AG31">
        <f t="shared" si="14"/>
        <v>16757.078775764952</v>
      </c>
      <c r="AH31" s="69">
        <f t="shared" si="15"/>
        <v>1200.1295358450589</v>
      </c>
    </row>
    <row r="32" spans="1:34" ht="16" thickBot="1">
      <c r="A32" s="58" t="s">
        <v>190</v>
      </c>
      <c r="B32" s="56" t="s">
        <v>59</v>
      </c>
      <c r="C32" s="56" t="s">
        <v>3</v>
      </c>
      <c r="D32" s="103">
        <f>(B$36-E32)/(-B$37)</f>
        <v>30614.72149292177</v>
      </c>
      <c r="E32">
        <v>100</v>
      </c>
      <c r="L32" s="68">
        <f t="shared" si="16"/>
        <v>290</v>
      </c>
      <c r="M32" cm="1">
        <f t="array" ref="M32">L32/Linterp(M$5,atmos_h,atmos_aspeed)</f>
        <v>0.25975189215817995</v>
      </c>
      <c r="N32" cm="1">
        <f t="array" ref="N32">1*W/(S*0.5*Linterp(M$5,atmos_h,atmos_rho)*L32*L32)</f>
        <v>0.23821957918679043</v>
      </c>
      <c r="O32">
        <f t="shared" si="0"/>
        <v>2.3518411210291756E-2</v>
      </c>
      <c r="P32">
        <f t="shared" si="1"/>
        <v>88.853192342622918</v>
      </c>
      <c r="Q32">
        <f t="shared" si="2"/>
        <v>7.2222602487676966</v>
      </c>
      <c r="R32">
        <f t="shared" si="8"/>
        <v>17261.947228000932</v>
      </c>
      <c r="S32">
        <f t="shared" si="9"/>
        <v>2187.5049480426237</v>
      </c>
      <c r="T32">
        <f t="shared" si="3"/>
        <v>5.6657993347050484</v>
      </c>
      <c r="U32">
        <f t="shared" si="10"/>
        <v>17314.995398171188</v>
      </c>
      <c r="V32" s="69">
        <f t="shared" si="11"/>
        <v>1717.8283852907095</v>
      </c>
      <c r="X32" s="68">
        <f t="shared" si="17"/>
        <v>290</v>
      </c>
      <c r="Y32" cm="1">
        <f t="array" ref="Y32">X32/Linterp($Y$5,atmos_h,atmos_aspeed)</f>
        <v>0.27969233427661228</v>
      </c>
      <c r="Z32" cm="1">
        <f t="array" ref="Z32">1*W/(S*0.5*Linterp($Y$5,atmos_h,atmos_rho)*X32*X32)</f>
        <v>0.44710696486004964</v>
      </c>
      <c r="AA32">
        <f t="shared" si="4"/>
        <v>3.239408755763467E-2</v>
      </c>
      <c r="AB32">
        <f t="shared" si="5"/>
        <v>65.207391280511587</v>
      </c>
      <c r="AC32">
        <f t="shared" si="6"/>
        <v>2.7014562677493252</v>
      </c>
      <c r="AD32">
        <f t="shared" si="12"/>
        <v>17380.662985896142</v>
      </c>
      <c r="AE32">
        <f t="shared" si="13"/>
        <v>820.09400113626361</v>
      </c>
      <c r="AF32">
        <f t="shared" si="7"/>
        <v>4.1548719694010803</v>
      </c>
      <c r="AG32">
        <f t="shared" si="14"/>
        <v>17354.270236443954</v>
      </c>
      <c r="AH32" s="69">
        <f t="shared" si="15"/>
        <v>1260.6762314232242</v>
      </c>
    </row>
    <row r="33" spans="1:34" ht="16" thickBot="1">
      <c r="A33" s="58" t="s">
        <v>191</v>
      </c>
      <c r="B33" s="56" t="s">
        <v>59</v>
      </c>
      <c r="C33" s="56" t="s">
        <v>3</v>
      </c>
      <c r="D33" s="103">
        <f>(B$36-E33)/(-B$37)</f>
        <v>27685.270390109024</v>
      </c>
      <c r="E33">
        <v>300</v>
      </c>
      <c r="L33" s="68">
        <f t="shared" si="16"/>
        <v>300</v>
      </c>
      <c r="M33" cm="1">
        <f t="array" ref="M33">L33/Linterp(M$5,atmos_h,atmos_aspeed)</f>
        <v>0.26870885395673788</v>
      </c>
      <c r="N33" cm="1">
        <f t="array" ref="N33">1*W/(S*0.5*Linterp(M$5,atmos_h,atmos_rho)*L33*L33)</f>
        <v>0.22260296232898974</v>
      </c>
      <c r="O33">
        <f t="shared" si="0"/>
        <v>2.3072228887933782E-2</v>
      </c>
      <c r="P33">
        <f t="shared" si="1"/>
        <v>93.28270289795762</v>
      </c>
      <c r="Q33">
        <f t="shared" si="2"/>
        <v>6.9381017467906316</v>
      </c>
      <c r="R33">
        <f t="shared" si="8"/>
        <v>17868.190163649211</v>
      </c>
      <c r="S33">
        <f t="shared" si="9"/>
        <v>2174.3459420408476</v>
      </c>
      <c r="T33">
        <f t="shared" si="3"/>
        <v>5.949245830767353</v>
      </c>
      <c r="U33">
        <f t="shared" si="10"/>
        <v>17903.053787999983</v>
      </c>
      <c r="V33" s="69">
        <f t="shared" si="11"/>
        <v>1865.6540579591522</v>
      </c>
      <c r="X33" s="68">
        <f t="shared" si="17"/>
        <v>300</v>
      </c>
      <c r="Y33" cm="1">
        <f t="array" ref="Y33">X33/Linterp($Y$5,atmos_h,atmos_aspeed)</f>
        <v>0.28933689752752995</v>
      </c>
      <c r="Z33" cm="1">
        <f t="array" ref="Z33">1*W/(S*0.5*Linterp($Y$5,atmos_h,atmos_rho)*X33*X33)</f>
        <v>0.4177966193858908</v>
      </c>
      <c r="AA33">
        <f t="shared" si="4"/>
        <v>3.0822348940557291E-2</v>
      </c>
      <c r="AB33">
        <f t="shared" si="5"/>
        <v>66.396214711540964</v>
      </c>
      <c r="AC33">
        <f t="shared" si="6"/>
        <v>2.625691557448333</v>
      </c>
      <c r="AD33">
        <f t="shared" si="12"/>
        <v>17981.102312925432</v>
      </c>
      <c r="AE33">
        <f t="shared" si="13"/>
        <v>824.59663600313343</v>
      </c>
      <c r="AF33">
        <f t="shared" si="7"/>
        <v>4.2307579222295635</v>
      </c>
      <c r="AG33">
        <f t="shared" si="14"/>
        <v>17950.950311022298</v>
      </c>
      <c r="AH33" s="69">
        <f t="shared" si="15"/>
        <v>1327.9242942308197</v>
      </c>
    </row>
    <row r="34" spans="1:34">
      <c r="L34" s="68">
        <f t="shared" si="16"/>
        <v>310</v>
      </c>
      <c r="M34" cm="1">
        <f t="array" ref="M34">L34/Linterp(M$5,atmos_h,atmos_aspeed)</f>
        <v>0.27766581575529581</v>
      </c>
      <c r="N34" cm="1">
        <f t="array" ref="N34">1*W/(S*0.5*Linterp(M$5,atmos_h,atmos_rho)*L34*L34)</f>
        <v>0.20847311768583848</v>
      </c>
      <c r="O34">
        <f t="shared" si="0"/>
        <v>2.2694584529454515E-2</v>
      </c>
      <c r="P34">
        <f t="shared" si="1"/>
        <v>97.974867470869768</v>
      </c>
      <c r="Q34">
        <f t="shared" si="2"/>
        <v>6.6372804495330868</v>
      </c>
      <c r="R34">
        <f t="shared" si="8"/>
        <v>18475.338513837632</v>
      </c>
      <c r="S34">
        <f t="shared" si="9"/>
        <v>2149.852738935358</v>
      </c>
      <c r="T34">
        <f t="shared" si="3"/>
        <v>6.2496593000132039</v>
      </c>
      <c r="U34">
        <f t="shared" si="10"/>
        <v>18489.459931487054</v>
      </c>
      <c r="V34" s="69">
        <f t="shared" si="11"/>
        <v>2024.8139277313085</v>
      </c>
      <c r="X34" s="68">
        <f t="shared" si="17"/>
        <v>310</v>
      </c>
      <c r="Y34" cm="1">
        <f t="array" ref="Y34">X34/Linterp($Y$5,atmos_h,atmos_aspeed)</f>
        <v>0.29898146077844762</v>
      </c>
      <c r="Z34" cm="1">
        <f t="array" ref="Z34">1*W/(S*0.5*Linterp($Y$5,atmos_h,atmos_rho)*X34*X34)</f>
        <v>0.39127675072560014</v>
      </c>
      <c r="AA34">
        <f t="shared" si="4"/>
        <v>2.9492044730819775E-2</v>
      </c>
      <c r="AB34">
        <f t="shared" si="5"/>
        <v>67.836487111783754</v>
      </c>
      <c r="AC34">
        <f t="shared" si="6"/>
        <v>2.5339079362700021</v>
      </c>
      <c r="AD34">
        <f t="shared" si="12"/>
        <v>18581.813523684483</v>
      </c>
      <c r="AE34">
        <f t="shared" si="13"/>
        <v>822.31756093155377</v>
      </c>
      <c r="AF34">
        <f t="shared" si="7"/>
        <v>4.3227045460731297</v>
      </c>
      <c r="AG34">
        <f t="shared" si="14"/>
        <v>18547.08938874472</v>
      </c>
      <c r="AH34" s="69">
        <f t="shared" si="15"/>
        <v>1401.9540669768642</v>
      </c>
    </row>
    <row r="35" spans="1:34" ht="15.5">
      <c r="A35" s="91" t="s">
        <v>206</v>
      </c>
      <c r="L35" s="68">
        <f t="shared" si="16"/>
        <v>320</v>
      </c>
      <c r="M35" cm="1">
        <f t="array" ref="M35">L35/Linterp(M$5,atmos_h,atmos_aspeed)</f>
        <v>0.28662277755385374</v>
      </c>
      <c r="N35" cm="1">
        <f t="array" ref="N35">1*W/(S*0.5*Linterp(M$5,atmos_h,atmos_rho)*L35*L35)</f>
        <v>0.19564713485946367</v>
      </c>
      <c r="O35">
        <f t="shared" si="0"/>
        <v>2.2373223685480465E-2</v>
      </c>
      <c r="P35">
        <f t="shared" si="1"/>
        <v>102.91947966115806</v>
      </c>
      <c r="Q35">
        <f t="shared" si="2"/>
        <v>6.3204729761492926</v>
      </c>
      <c r="R35">
        <f t="shared" si="8"/>
        <v>19083.29628760456</v>
      </c>
      <c r="S35">
        <f t="shared" si="9"/>
        <v>2113.717767228628</v>
      </c>
      <c r="T35">
        <f t="shared" si="3"/>
        <v>6.5664225421593585</v>
      </c>
      <c r="U35">
        <f t="shared" si="10"/>
        <v>19074.047087230301</v>
      </c>
      <c r="V35" s="69">
        <f t="shared" si="11"/>
        <v>2195.6155661047051</v>
      </c>
      <c r="X35" s="68">
        <f t="shared" si="17"/>
        <v>320</v>
      </c>
      <c r="Y35" cm="1">
        <f t="array" ref="Y35">X35/Linterp($Y$5,atmos_h,atmos_aspeed)</f>
        <v>0.30862602402936529</v>
      </c>
      <c r="Z35" cm="1">
        <f t="array" ref="Z35">1*W/(S*0.5*Linterp($Y$5,atmos_h,atmos_rho)*X35*X35)</f>
        <v>0.36720406000713068</v>
      </c>
      <c r="AA35">
        <f t="shared" si="4"/>
        <v>2.8360006944514668E-2</v>
      </c>
      <c r="AB35">
        <f t="shared" si="5"/>
        <v>69.509052404179727</v>
      </c>
      <c r="AC35">
        <f t="shared" si="6"/>
        <v>2.4273292345273179</v>
      </c>
      <c r="AD35">
        <f t="shared" si="12"/>
        <v>19182.772653659296</v>
      </c>
      <c r="AE35">
        <f t="shared" si="13"/>
        <v>813.16254096038222</v>
      </c>
      <c r="AF35">
        <f t="shared" si="7"/>
        <v>4.4294947038133436</v>
      </c>
      <c r="AG35">
        <f t="shared" si="14"/>
        <v>19142.652033068702</v>
      </c>
      <c r="AH35" s="69">
        <f t="shared" si="15"/>
        <v>1482.8597846225007</v>
      </c>
    </row>
    <row r="36" spans="1:34" ht="15.5">
      <c r="A36" s="91" t="s">
        <v>74</v>
      </c>
      <c r="B36">
        <f>'HW#11 Calculations'!D6</f>
        <v>2190.1336406350474</v>
      </c>
      <c r="C36" s="102" t="s">
        <v>205</v>
      </c>
      <c r="L36" s="68">
        <f>10+L35</f>
        <v>330</v>
      </c>
      <c r="M36" cm="1">
        <f t="array" ref="M36">L36/Linterp(M$5,atmos_h,atmos_aspeed)</f>
        <v>0.29557973935241166</v>
      </c>
      <c r="N36" cm="1">
        <f t="array" ref="N36">1*W/(S*0.5*Linterp(M$5,atmos_h,atmos_rho)*L36*L36)</f>
        <v>0.18396939035453697</v>
      </c>
      <c r="O36">
        <f t="shared" si="0"/>
        <v>2.2098373668420039E-2</v>
      </c>
      <c r="P36">
        <f t="shared" si="1"/>
        <v>108.10785567778316</v>
      </c>
      <c r="Q36">
        <f t="shared" si="2"/>
        <v>5.9882555587860997</v>
      </c>
      <c r="R36">
        <f t="shared" si="8"/>
        <v>19691.957352521735</v>
      </c>
      <c r="S36">
        <f t="shared" si="9"/>
        <v>2065.6271750887704</v>
      </c>
      <c r="T36">
        <f t="shared" si="3"/>
        <v>6.899018913338959</v>
      </c>
      <c r="U36">
        <f t="shared" si="10"/>
        <v>19656.636098420397</v>
      </c>
      <c r="V36" s="69">
        <f t="shared" si="11"/>
        <v>2378.3728249112301</v>
      </c>
      <c r="X36" s="68">
        <f>10+X35</f>
        <v>330</v>
      </c>
      <c r="Y36" cm="1">
        <f t="array" ref="Y36">X36/Linterp($Y$5,atmos_h,atmos_aspeed)</f>
        <v>0.3182705872802829</v>
      </c>
      <c r="Z36" cm="1">
        <f t="array" ref="Z36">1*W/(S*0.5*Linterp($Y$5,atmos_h,atmos_rho)*X36*X36)</f>
        <v>0.34528646230238913</v>
      </c>
      <c r="AA36">
        <f t="shared" si="4"/>
        <v>2.739180994505655E-2</v>
      </c>
      <c r="AB36">
        <f t="shared" si="5"/>
        <v>71.3976122497413</v>
      </c>
      <c r="AC36">
        <f t="shared" si="6"/>
        <v>2.3069970749391238</v>
      </c>
      <c r="AD36">
        <f t="shared" si="12"/>
        <v>19783.951836441793</v>
      </c>
      <c r="AE36">
        <f t="shared" si="13"/>
        <v>797.0255537630394</v>
      </c>
      <c r="AF36">
        <f t="shared" si="7"/>
        <v>4.5500942646177398</v>
      </c>
      <c r="AG36">
        <f t="shared" si="14"/>
        <v>19737.597431984403</v>
      </c>
      <c r="AH36" s="69">
        <f t="shared" si="15"/>
        <v>1570.7474694943082</v>
      </c>
    </row>
    <row r="37" spans="1:34" ht="15.5">
      <c r="A37" s="91" t="s">
        <v>207</v>
      </c>
      <c r="B37">
        <f>('HW#11 Calculations'!E6-'HW#11 Calculations'!D6)/'HW#11 Calculations'!I5</f>
        <v>-6.8272175564892651E-2</v>
      </c>
      <c r="C37" s="102" t="s">
        <v>208</v>
      </c>
      <c r="L37" s="68">
        <f t="shared" ref="L37:L65" si="18">10+L36</f>
        <v>340</v>
      </c>
      <c r="M37" cm="1">
        <f t="array" ref="M37">L37/Linterp(M$5,atmos_h,atmos_aspeed)</f>
        <v>0.30453670115096959</v>
      </c>
      <c r="N37" cm="1">
        <f t="array" ref="N37">1*W/(S*0.5*Linterp(M$5,atmos_h,atmos_rho)*L37*L37)</f>
        <v>0.17330680458139341</v>
      </c>
      <c r="O37">
        <f t="shared" si="0"/>
        <v>2.1862185407881225E-2</v>
      </c>
      <c r="P37">
        <f t="shared" si="1"/>
        <v>113.53256967964174</v>
      </c>
      <c r="Q37">
        <f t="shared" si="2"/>
        <v>5.6411209235835766</v>
      </c>
      <c r="R37">
        <f t="shared" si="8"/>
        <v>20301.205020841327</v>
      </c>
      <c r="S37">
        <f t="shared" si="9"/>
        <v>2005.2617539281207</v>
      </c>
      <c r="T37">
        <f t="shared" si="3"/>
        <v>7.247015706420683</v>
      </c>
      <c r="U37">
        <f t="shared" si="10"/>
        <v>20237.035038638769</v>
      </c>
      <c r="V37" s="69">
        <f t="shared" si="11"/>
        <v>2573.404912738546</v>
      </c>
      <c r="X37" s="68">
        <f t="shared" ref="X37:X65" si="19">10+X36</f>
        <v>340</v>
      </c>
      <c r="Y37" cm="1">
        <f t="array" ref="Y37">X37/Linterp($Y$5,atmos_h,atmos_aspeed)</f>
        <v>0.32791515053120057</v>
      </c>
      <c r="Z37" cm="1">
        <f t="array" ref="Z37">1*W/(S*0.5*Linterp($Y$5,atmos_h,atmos_rho)*X37*X37)</f>
        <v>0.32527418464299462</v>
      </c>
      <c r="AA37">
        <f t="shared" si="4"/>
        <v>2.6559804302100226E-2</v>
      </c>
      <c r="AB37">
        <f t="shared" si="5"/>
        <v>73.4882293168328</v>
      </c>
      <c r="AC37">
        <f t="shared" si="6"/>
        <v>2.1738024148938728</v>
      </c>
      <c r="AD37">
        <f t="shared" si="12"/>
        <v>20385.319429098628</v>
      </c>
      <c r="AE37">
        <f t="shared" si="13"/>
        <v>773.79052308360315</v>
      </c>
      <c r="AF37">
        <f t="shared" si="7"/>
        <v>4.6836203711037854</v>
      </c>
      <c r="AG37">
        <f t="shared" si="14"/>
        <v>20331.879719140245</v>
      </c>
      <c r="AH37" s="69">
        <f t="shared" si="15"/>
        <v>1665.73319784821</v>
      </c>
    </row>
    <row r="38" spans="1:34" ht="15.5">
      <c r="A38" s="91"/>
      <c r="L38" s="68">
        <f t="shared" si="18"/>
        <v>350</v>
      </c>
      <c r="M38" cm="1">
        <f t="array" ref="M38">L38/Linterp(M$5,atmos_h,atmos_aspeed)</f>
        <v>0.31349366294952752</v>
      </c>
      <c r="N38" cm="1">
        <f t="array" ref="N38">1*W/(S*0.5*Linterp(M$5,atmos_h,atmos_rho)*L38*L38)</f>
        <v>0.1635450335478292</v>
      </c>
      <c r="O38">
        <f t="shared" si="0"/>
        <v>2.1658312635885957E-2</v>
      </c>
      <c r="P38">
        <f t="shared" si="1"/>
        <v>119.18724127196887</v>
      </c>
      <c r="Q38">
        <f t="shared" si="2"/>
        <v>5.2794918091113656</v>
      </c>
      <c r="R38">
        <f t="shared" si="8"/>
        <v>20910.911639248374</v>
      </c>
      <c r="S38">
        <f t="shared" si="9"/>
        <v>1932.2977036540594</v>
      </c>
      <c r="T38">
        <f t="shared" si="3"/>
        <v>7.6100508735377304</v>
      </c>
      <c r="U38">
        <f t="shared" si="10"/>
        <v>20815.038813955027</v>
      </c>
      <c r="V38" s="69">
        <f t="shared" si="11"/>
        <v>2781.0356296792743</v>
      </c>
      <c r="X38" s="68">
        <f t="shared" si="19"/>
        <v>350</v>
      </c>
      <c r="Y38" cm="1">
        <f t="array" ref="Y38">X38/Linterp($Y$5,atmos_h,atmos_aspeed)</f>
        <v>0.33755971378211824</v>
      </c>
      <c r="Z38" cm="1">
        <f t="array" ref="Z38">1*W/(S*0.5*Linterp($Y$5,atmos_h,atmos_rho)*X38*X38)</f>
        <v>0.30695261832432796</v>
      </c>
      <c r="AA38">
        <f t="shared" si="4"/>
        <v>2.5841634413561954E-2</v>
      </c>
      <c r="AB38">
        <f t="shared" si="5"/>
        <v>75.768928439736513</v>
      </c>
      <c r="AC38">
        <f t="shared" si="6"/>
        <v>2.0285108741360101</v>
      </c>
      <c r="AD38">
        <f t="shared" si="12"/>
        <v>20986.840076946446</v>
      </c>
      <c r="AE38">
        <f t="shared" si="13"/>
        <v>743.33275501242622</v>
      </c>
      <c r="AF38">
        <f t="shared" si="7"/>
        <v>4.8293159800047363</v>
      </c>
      <c r="AG38">
        <f t="shared" si="14"/>
        <v>20925.448197688122</v>
      </c>
      <c r="AH38" s="69">
        <f t="shared" si="15"/>
        <v>1767.9416635938521</v>
      </c>
    </row>
    <row r="39" spans="1:34" ht="15.5">
      <c r="A39" s="91" t="s">
        <v>210</v>
      </c>
      <c r="L39" s="68">
        <f t="shared" si="18"/>
        <v>360</v>
      </c>
      <c r="M39" cm="1">
        <f t="array" ref="M39">L39/Linterp(M$5,atmos_h,atmos_aspeed)</f>
        <v>0.32245062474808545</v>
      </c>
      <c r="N39" cm="1">
        <f t="array" ref="N39">1*W/(S*0.5*Linterp(M$5,atmos_h,atmos_rho)*L39*L39)</f>
        <v>0.15458539050624287</v>
      </c>
      <c r="O39">
        <f t="shared" si="0"/>
        <v>2.1481591863393993E-2</v>
      </c>
      <c r="P39">
        <f t="shared" si="1"/>
        <v>125.06636373424834</v>
      </c>
      <c r="Q39">
        <f t="shared" si="2"/>
        <v>4.9037318551356535</v>
      </c>
      <c r="R39">
        <f t="shared" si="8"/>
        <v>21520.938181034187</v>
      </c>
      <c r="S39">
        <f t="shared" si="9"/>
        <v>1846.4072703780398</v>
      </c>
      <c r="T39">
        <f t="shared" si="3"/>
        <v>7.9878223624579761</v>
      </c>
      <c r="U39">
        <f t="shared" si="10"/>
        <v>21390.428726079346</v>
      </c>
      <c r="V39" s="69">
        <f t="shared" si="11"/>
        <v>3001.5927296219597</v>
      </c>
      <c r="X39" s="68">
        <f t="shared" si="19"/>
        <v>360</v>
      </c>
      <c r="Y39" cm="1">
        <f t="array" ref="Y39">X39/Linterp($Y$5,atmos_h,atmos_aspeed)</f>
        <v>0.34720427703303591</v>
      </c>
      <c r="Z39" cm="1">
        <f t="array" ref="Z39">1*W/(S*0.5*Linterp($Y$5,atmos_h,atmos_rho)*X39*X39)</f>
        <v>0.29013654124020199</v>
      </c>
      <c r="AA39">
        <f t="shared" si="4"/>
        <v>2.52191111788953E-2</v>
      </c>
      <c r="AB39">
        <f t="shared" si="5"/>
        <v>78.229374224927142</v>
      </c>
      <c r="AC39">
        <f t="shared" si="6"/>
        <v>1.8717832073718805</v>
      </c>
      <c r="AD39">
        <f t="shared" si="12"/>
        <v>21588.474733970332</v>
      </c>
      <c r="AE39">
        <f t="shared" si="13"/>
        <v>705.52013488249167</v>
      </c>
      <c r="AF39">
        <f t="shared" si="7"/>
        <v>4.9865292991914743</v>
      </c>
      <c r="AG39">
        <f t="shared" si="14"/>
        <v>21518.247490091399</v>
      </c>
      <c r="AH39" s="69">
        <f t="shared" si="15"/>
        <v>1877.5049813982516</v>
      </c>
    </row>
    <row r="40" spans="1:34">
      <c r="L40" s="68">
        <f t="shared" si="18"/>
        <v>370</v>
      </c>
      <c r="M40" cm="1">
        <f t="array" ref="M40">L40/Linterp(M$5,atmos_h,atmos_aspeed)</f>
        <v>0.33140758654664337</v>
      </c>
      <c r="N40" cm="1">
        <f t="array" ref="N40">1*W/(S*0.5*Linterp(M$5,atmos_h,atmos_rho)*L40*L40)</f>
        <v>0.14634234192555934</v>
      </c>
      <c r="O40">
        <f t="shared" ref="O40:O65" si="20">CD0+K*N40*N40</f>
        <v>2.1327797024495953E-2</v>
      </c>
      <c r="P40">
        <f t="shared" si="1"/>
        <v>131.1651642954462</v>
      </c>
      <c r="Q40">
        <f t="shared" ref="Q40:Q65" si="21">DEGREES(ASIN(($H$11-P40)/W))</f>
        <v>4.5141544192435816</v>
      </c>
      <c r="R40">
        <f t="shared" si="8"/>
        <v>22131.133839140835</v>
      </c>
      <c r="S40">
        <f t="shared" si="9"/>
        <v>1747.2592807123276</v>
      </c>
      <c r="T40">
        <f t="shared" ref="T40:T65" si="22">DEGREES(ASIN((P40)/W))</f>
        <v>8.3800795136547546</v>
      </c>
      <c r="U40">
        <f t="shared" si="10"/>
        <v>21962.971999411013</v>
      </c>
      <c r="V40" s="69">
        <f t="shared" si="11"/>
        <v>3235.4073859543396</v>
      </c>
      <c r="X40" s="68">
        <f t="shared" si="19"/>
        <v>370</v>
      </c>
      <c r="Y40" cm="1">
        <f t="array" ref="Y40">X40/Linterp($Y$5,atmos_h,atmos_aspeed)</f>
        <v>0.35684884028395358</v>
      </c>
      <c r="Z40" cm="1">
        <f t="array" ref="Z40">1*W/(S*0.5*Linterp($Y$5,atmos_h,atmos_rho)*X40*X40)</f>
        <v>0.27466541814996476</v>
      </c>
      <c r="AA40">
        <f t="shared" ref="AA40:AA65" si="23">CD0+K*Z40*Z40</f>
        <v>2.4677347699504689E-2</v>
      </c>
      <c r="AB40">
        <f t="shared" si="5"/>
        <v>80.860608805976355</v>
      </c>
      <c r="AC40">
        <f t="shared" ref="AC40:AC65" si="24">DEGREES(ASIN(($I$11-AB40)/W))</f>
        <v>1.704191955471513</v>
      </c>
      <c r="AD40">
        <f t="shared" si="12"/>
        <v>22190.180650514092</v>
      </c>
      <c r="AE40">
        <f t="shared" si="13"/>
        <v>660.21413007445835</v>
      </c>
      <c r="AF40">
        <f t="shared" ref="AF40:AF65" si="25">DEGREES(ASIN((AB40)/W))</f>
        <v>5.1546970752071033</v>
      </c>
      <c r="AG40">
        <f t="shared" si="14"/>
        <v>22110.217630977648</v>
      </c>
      <c r="AH40" s="69">
        <f t="shared" si="15"/>
        <v>1994.56168388075</v>
      </c>
    </row>
    <row r="41" spans="1:34">
      <c r="L41" s="68">
        <f t="shared" si="18"/>
        <v>380</v>
      </c>
      <c r="M41" cm="1">
        <f t="array" ref="M41">L41/Linterp(M$5,atmos_h,atmos_aspeed)</f>
        <v>0.3403645483452013</v>
      </c>
      <c r="N41" cm="1">
        <f t="array" ref="N41">1*W/(S*0.5*Linterp(M$5,atmos_h,atmos_rho)*L41*L41)</f>
        <v>0.13874145851529832</v>
      </c>
      <c r="O41">
        <f t="shared" si="20"/>
        <v>2.119344992327904E-2</v>
      </c>
      <c r="P41">
        <f t="shared" si="1"/>
        <v>137.47948980115365</v>
      </c>
      <c r="Q41">
        <f t="shared" si="21"/>
        <v>4.111029748842765</v>
      </c>
      <c r="R41">
        <f t="shared" si="8"/>
        <v>22741.335618303852</v>
      </c>
      <c r="S41">
        <f t="shared" si="9"/>
        <v>1634.5195917041074</v>
      </c>
      <c r="T41">
        <f t="shared" si="22"/>
        <v>8.7866160946856642</v>
      </c>
      <c r="U41">
        <f t="shared" si="10"/>
        <v>22532.421273381133</v>
      </c>
      <c r="V41" s="69">
        <f t="shared" si="11"/>
        <v>3482.8137416292257</v>
      </c>
      <c r="X41" s="68">
        <f t="shared" si="19"/>
        <v>380</v>
      </c>
      <c r="Y41" cm="1">
        <f t="array" ref="Y41">X41/Linterp($Y$5,atmos_h,atmos_aspeed)</f>
        <v>0.36649340353487125</v>
      </c>
      <c r="Z41" cm="1">
        <f t="array" ref="Z41">1*W/(S*0.5*Linterp($Y$5,atmos_h,atmos_rho)*X41*X41)</f>
        <v>0.26039955501890705</v>
      </c>
      <c r="AA41">
        <f t="shared" si="23"/>
        <v>2.4204091551750778E-2</v>
      </c>
      <c r="AB41">
        <f t="shared" si="5"/>
        <v>83.654837255747353</v>
      </c>
      <c r="AC41">
        <f t="shared" si="24"/>
        <v>1.5262350676638203</v>
      </c>
      <c r="AD41">
        <f t="shared" si="12"/>
        <v>22791.911336623205</v>
      </c>
      <c r="AE41">
        <f t="shared" si="13"/>
        <v>607.27063448407387</v>
      </c>
      <c r="AF41">
        <f t="shared" si="25"/>
        <v>5.3333309304688079</v>
      </c>
      <c r="AG41">
        <f t="shared" si="14"/>
        <v>22701.294115692697</v>
      </c>
      <c r="AH41" s="69">
        <f t="shared" si="15"/>
        <v>2119.2558771455997</v>
      </c>
    </row>
    <row r="42" spans="1:34">
      <c r="L42" s="68">
        <f t="shared" si="18"/>
        <v>390</v>
      </c>
      <c r="M42" cm="1">
        <f t="array" ref="M42">L42/Linterp(M$5,atmos_h,atmos_aspeed)</f>
        <v>0.34932151014375923</v>
      </c>
      <c r="N42" cm="1">
        <f t="array" ref="N42">1*W/(S*0.5*Linterp(M$5,atmos_h,atmos_rho)*L42*L42)</f>
        <v>0.13171772918875133</v>
      </c>
      <c r="O42">
        <f t="shared" si="20"/>
        <v>2.1075672731323755E-2</v>
      </c>
      <c r="P42">
        <f t="shared" si="1"/>
        <v>144.00571263273233</v>
      </c>
      <c r="Q42">
        <f t="shared" si="21"/>
        <v>3.6945908388177502</v>
      </c>
      <c r="R42">
        <f t="shared" si="8"/>
        <v>23351.367924379669</v>
      </c>
      <c r="S42">
        <f t="shared" si="9"/>
        <v>1507.8514715489594</v>
      </c>
      <c r="T42">
        <f t="shared" si="22"/>
        <v>9.2072646454326215</v>
      </c>
      <c r="U42">
        <f t="shared" si="10"/>
        <v>23098.514060365396</v>
      </c>
      <c r="V42" s="69">
        <f t="shared" si="11"/>
        <v>3744.1485284510413</v>
      </c>
      <c r="X42" s="68">
        <f t="shared" si="19"/>
        <v>390</v>
      </c>
      <c r="Y42" cm="1">
        <f t="array" ref="Y42">X42/Linterp($Y$5,atmos_h,atmos_aspeed)</f>
        <v>0.37613796678578892</v>
      </c>
      <c r="Z42" cm="1">
        <f t="array" ref="Z42">1*W/(S*0.5*Linterp($Y$5,atmos_h,atmos_rho)*X42*X42)</f>
        <v>0.24721693454786442</v>
      </c>
      <c r="AA42">
        <f t="shared" si="23"/>
        <v>2.3789205189089072E-2</v>
      </c>
      <c r="AB42">
        <f t="shared" si="5"/>
        <v>86.60525100894678</v>
      </c>
      <c r="AC42">
        <f t="shared" si="24"/>
        <v>1.3383471068548516</v>
      </c>
      <c r="AD42">
        <f t="shared" si="12"/>
        <v>23393.616507110386</v>
      </c>
      <c r="AE42">
        <f t="shared" si="13"/>
        <v>546.54068307152227</v>
      </c>
      <c r="AF42">
        <f t="shared" si="25"/>
        <v>5.5220061321056617</v>
      </c>
      <c r="AG42">
        <f t="shared" si="14"/>
        <v>23291.407914001888</v>
      </c>
      <c r="AH42" s="69">
        <f t="shared" si="15"/>
        <v>2251.7365262326166</v>
      </c>
    </row>
    <row r="43" spans="1:34">
      <c r="L43" s="68">
        <f t="shared" si="18"/>
        <v>400</v>
      </c>
      <c r="M43" cm="1">
        <f t="array" ref="M43">L43/Linterp(M$5,atmos_h,atmos_aspeed)</f>
        <v>0.35827847194231716</v>
      </c>
      <c r="N43" cm="1">
        <f t="array" ref="N43">1*W/(S*0.5*Linterp(M$5,atmos_h,atmos_rho)*L43*L43)</f>
        <v>0.12521416631005675</v>
      </c>
      <c r="O43">
        <f t="shared" si="20"/>
        <v>2.0972072421572799E-2</v>
      </c>
      <c r="P43">
        <f t="shared" si="1"/>
        <v>150.74065288010115</v>
      </c>
      <c r="Q43">
        <f t="shared" si="21"/>
        <v>3.2650382317923232</v>
      </c>
      <c r="R43">
        <f t="shared" si="8"/>
        <v>23961.042148848821</v>
      </c>
      <c r="S43">
        <f t="shared" si="9"/>
        <v>1366.9159231973028</v>
      </c>
      <c r="T43">
        <f t="shared" si="22"/>
        <v>9.641891880819367</v>
      </c>
      <c r="U43">
        <f t="shared" si="10"/>
        <v>23660.972168539007</v>
      </c>
      <c r="V43" s="69">
        <f t="shared" si="11"/>
        <v>4019.7507434693648</v>
      </c>
      <c r="X43" s="68">
        <f t="shared" si="19"/>
        <v>400</v>
      </c>
      <c r="Y43" cm="1">
        <f t="array" ref="Y43">X43/Linterp($Y$5,atmos_h,atmos_aspeed)</f>
        <v>0.38578253003670659</v>
      </c>
      <c r="Z43" cm="1">
        <f t="array" ref="Z43">1*W/(S*0.5*Linterp($Y$5,atmos_h,atmos_rho)*X43*X43)</f>
        <v>0.23501059840456362</v>
      </c>
      <c r="AA43">
        <f t="shared" si="23"/>
        <v>2.3424258844473207E-2</v>
      </c>
      <c r="AB43">
        <f t="shared" si="5"/>
        <v>89.705881790633754</v>
      </c>
      <c r="AC43">
        <f t="shared" si="24"/>
        <v>1.1409085143833588</v>
      </c>
      <c r="AD43">
        <f t="shared" si="12"/>
        <v>23995.242012756444</v>
      </c>
      <c r="AE43">
        <f t="shared" si="13"/>
        <v>477.87105922837026</v>
      </c>
      <c r="AF43">
        <f t="shared" si="25"/>
        <v>5.7203523119744135</v>
      </c>
      <c r="AG43">
        <f t="shared" si="14"/>
        <v>23880.485456032122</v>
      </c>
      <c r="AH43" s="69">
        <f t="shared" si="15"/>
        <v>2392.1568477502333</v>
      </c>
    </row>
    <row r="44" spans="1:34">
      <c r="L44" s="68">
        <f t="shared" si="18"/>
        <v>410</v>
      </c>
      <c r="M44" cm="1">
        <f t="array" ref="M44">L44/Linterp(M$5,atmos_h,atmos_aspeed)</f>
        <v>0.36723543374087508</v>
      </c>
      <c r="N44" cm="1">
        <f t="array" ref="N44">1*W/(S*0.5*Linterp(M$5,atmos_h,atmos_rho)*L44*L44)</f>
        <v>0.11918064610118427</v>
      </c>
      <c r="O44">
        <f t="shared" si="20"/>
        <v>2.0880649637115934E-2</v>
      </c>
      <c r="P44">
        <f t="shared" si="1"/>
        <v>157.68151363644608</v>
      </c>
      <c r="Q44">
        <f t="shared" si="21"/>
        <v>2.8225439622013382</v>
      </c>
      <c r="R44">
        <f t="shared" si="8"/>
        <v>24570.156246411272</v>
      </c>
      <c r="S44">
        <f t="shared" si="9"/>
        <v>1211.3719606038071</v>
      </c>
      <c r="T44">
        <f t="shared" si="22"/>
        <v>10.090394953143257</v>
      </c>
      <c r="U44">
        <f t="shared" si="10"/>
        <v>24219.501088287914</v>
      </c>
      <c r="V44" s="69">
        <f t="shared" si="11"/>
        <v>4309.9613727295264</v>
      </c>
      <c r="X44" s="68">
        <f t="shared" si="19"/>
        <v>410</v>
      </c>
      <c r="Y44" cm="1">
        <f t="array" ref="Y44">X44/Linterp($Y$5,atmos_h,atmos_aspeed)</f>
        <v>0.39542709328762427</v>
      </c>
      <c r="Z44" cm="1">
        <f t="array" ref="Z44">1*W/(S*0.5*Linterp($Y$5,atmos_h,atmos_rho)*X44*X44)</f>
        <v>0.22368647081933477</v>
      </c>
      <c r="AA44">
        <f t="shared" si="23"/>
        <v>2.3102209508111766E-2</v>
      </c>
      <c r="AB44">
        <f t="shared" si="5"/>
        <v>92.951480172860755</v>
      </c>
      <c r="AC44">
        <f t="shared" si="24"/>
        <v>0.93425330739319967</v>
      </c>
      <c r="AD44">
        <f t="shared" si="12"/>
        <v>24596.729760860049</v>
      </c>
      <c r="AE44">
        <f t="shared" si="13"/>
        <v>401.10481326154149</v>
      </c>
      <c r="AF44">
        <f t="shared" si="25"/>
        <v>5.9280457617536664</v>
      </c>
      <c r="AG44">
        <f t="shared" si="14"/>
        <v>24468.448595808768</v>
      </c>
      <c r="AH44" s="69">
        <f t="shared" si="15"/>
        <v>2540.6737913915272</v>
      </c>
    </row>
    <row r="45" spans="1:34">
      <c r="L45" s="68">
        <f t="shared" si="18"/>
        <v>420</v>
      </c>
      <c r="M45" cm="1">
        <f t="array" ref="M45">L45/Linterp(M$5,atmos_h,atmos_aspeed)</f>
        <v>0.37619239553943301</v>
      </c>
      <c r="N45" cm="1">
        <f t="array" ref="N45">1*W/(S*0.5*Linterp(M$5,atmos_h,atmos_rho)*L45*L45)</f>
        <v>0.11357293996377028</v>
      </c>
      <c r="O45">
        <f t="shared" si="20"/>
        <v>2.0799726386904877E-2</v>
      </c>
      <c r="P45">
        <f t="shared" si="1"/>
        <v>164.82582694597835</v>
      </c>
      <c r="Q45">
        <f t="shared" si="21"/>
        <v>2.3672548026793905</v>
      </c>
      <c r="R45">
        <f t="shared" si="8"/>
        <v>25178.494303521722</v>
      </c>
      <c r="S45">
        <f t="shared" si="9"/>
        <v>1040.876845512606</v>
      </c>
      <c r="T45">
        <f t="shared" si="22"/>
        <v>10.552698418686502</v>
      </c>
      <c r="U45">
        <f t="shared" si="10"/>
        <v>24773.78934012547</v>
      </c>
      <c r="V45" s="69">
        <f t="shared" si="11"/>
        <v>4615.1231544873945</v>
      </c>
      <c r="X45" s="68">
        <f t="shared" si="19"/>
        <v>420</v>
      </c>
      <c r="Y45" cm="1">
        <f t="array" ref="Y45">X45/Linterp($Y$5,atmos_h,atmos_aspeed)</f>
        <v>0.40507165653854188</v>
      </c>
      <c r="Z45" cm="1">
        <f t="array" ref="Z45">1*W/(S*0.5*Linterp($Y$5,atmos_h,atmos_rho)*X45*X45)</f>
        <v>0.21316154050300551</v>
      </c>
      <c r="AA45">
        <f t="shared" si="23"/>
        <v>2.2817146225676096E-2</v>
      </c>
      <c r="AB45">
        <f t="shared" si="5"/>
        <v>96.337414125691879</v>
      </c>
      <c r="AC45">
        <f t="shared" si="24"/>
        <v>0.71867550309840889</v>
      </c>
      <c r="AD45">
        <f t="shared" si="12"/>
        <v>25198.017627476598</v>
      </c>
      <c r="AE45">
        <f t="shared" si="13"/>
        <v>316.08170680816124</v>
      </c>
      <c r="AF45">
        <f t="shared" si="25"/>
        <v>6.1448030067781403</v>
      </c>
      <c r="AG45">
        <f t="shared" si="14"/>
        <v>25055.214556443669</v>
      </c>
      <c r="AH45" s="69">
        <f t="shared" si="15"/>
        <v>2697.447595519373</v>
      </c>
    </row>
    <row r="46" spans="1:34">
      <c r="L46" s="68">
        <f t="shared" si="18"/>
        <v>430</v>
      </c>
      <c r="M46" cm="1">
        <f t="array" ref="M46">L46/Linterp(M$5,atmos_h,atmos_aspeed)</f>
        <v>0.38514935733799094</v>
      </c>
      <c r="N46" cm="1">
        <f t="array" ref="N46">1*W/(S*0.5*Linterp(M$5,atmos_h,atmos_rho)*L46*L46)</f>
        <v>0.1083519016203844</v>
      </c>
      <c r="O46">
        <f t="shared" si="20"/>
        <v>2.0727888344254715E-2</v>
      </c>
      <c r="P46">
        <f t="shared" si="1"/>
        <v>172.17140844641744</v>
      </c>
      <c r="Q46">
        <f t="shared" si="21"/>
        <v>1.8992949383349651</v>
      </c>
      <c r="R46">
        <f t="shared" si="8"/>
        <v>25785.826095640161</v>
      </c>
      <c r="S46">
        <f t="shared" si="9"/>
        <v>855.08629120270007</v>
      </c>
      <c r="T46">
        <f t="shared" si="22"/>
        <v>11.028751786104221</v>
      </c>
      <c r="U46">
        <f t="shared" si="10"/>
        <v>25323.507781453482</v>
      </c>
      <c r="V46" s="69">
        <f t="shared" si="11"/>
        <v>4935.5803754639674</v>
      </c>
      <c r="X46" s="68">
        <f t="shared" si="19"/>
        <v>430</v>
      </c>
      <c r="Y46" cm="1">
        <f t="array" ref="Y46">X46/Linterp($Y$5,atmos_h,atmos_aspeed)</f>
        <v>0.41471621978945955</v>
      </c>
      <c r="Z46" cm="1">
        <f t="array" ref="Z46">1*W/(S*0.5*Linterp($Y$5,atmos_h,atmos_rho)*X46*X46)</f>
        <v>0.20336233501746984</v>
      </c>
      <c r="AA46">
        <f t="shared" si="23"/>
        <v>2.2564086836832975E-2</v>
      </c>
      <c r="AB46">
        <f t="shared" si="5"/>
        <v>99.859583887080888</v>
      </c>
      <c r="AC46">
        <f t="shared" si="24"/>
        <v>0.49443450342358997</v>
      </c>
      <c r="AD46">
        <f t="shared" si="12"/>
        <v>25799.039363044314</v>
      </c>
      <c r="AE46">
        <f t="shared" si="13"/>
        <v>222.63859523901348</v>
      </c>
      <c r="AF46">
        <f t="shared" si="25"/>
        <v>6.3703754236733339</v>
      </c>
      <c r="AG46">
        <f t="shared" si="14"/>
        <v>25640.695860052951</v>
      </c>
      <c r="AH46" s="69">
        <f t="shared" si="15"/>
        <v>2862.6414047629855</v>
      </c>
    </row>
    <row r="47" spans="1:34">
      <c r="L47" s="68">
        <f t="shared" si="18"/>
        <v>440</v>
      </c>
      <c r="M47" cm="1">
        <f t="array" ref="M47">L47/Linterp(M$5,atmos_h,atmos_aspeed)</f>
        <v>0.39410631913654887</v>
      </c>
      <c r="N47" cm="1">
        <f t="array" ref="N47">1*W/(S*0.5*Linterp(M$5,atmos_h,atmos_rho)*L47*L47)</f>
        <v>0.10348278207442706</v>
      </c>
      <c r="O47">
        <f t="shared" si="20"/>
        <v>2.0663938543523528E-2</v>
      </c>
      <c r="P47">
        <f t="shared" si="1"/>
        <v>179.716319143753</v>
      </c>
      <c r="Q47">
        <f t="shared" si="21"/>
        <v>1.418768168890878</v>
      </c>
      <c r="R47">
        <f t="shared" si="8"/>
        <v>26391.906630890328</v>
      </c>
      <c r="S47">
        <f t="shared" si="9"/>
        <v>653.65463844991223</v>
      </c>
      <c r="T47">
        <f t="shared" si="22"/>
        <v>11.518527549631003</v>
      </c>
      <c r="U47">
        <f t="shared" si="10"/>
        <v>25868.308868921296</v>
      </c>
      <c r="V47" s="69">
        <f t="shared" si="11"/>
        <v>5271.6786948834215</v>
      </c>
      <c r="X47" s="68">
        <f t="shared" si="19"/>
        <v>440</v>
      </c>
      <c r="Y47" cm="1">
        <f t="array" ref="Y47">X47/Linterp($Y$5,atmos_h,atmos_aspeed)</f>
        <v>0.42436078304037722</v>
      </c>
      <c r="Z47" cm="1">
        <f t="array" ref="Z47">1*W/(S*0.5*Linterp($Y$5,atmos_h,atmos_rho)*X47*X47)</f>
        <v>0.19422363504509388</v>
      </c>
      <c r="AA47">
        <f t="shared" si="23"/>
        <v>2.2338814865428051E-2</v>
      </c>
      <c r="AB47">
        <f t="shared" si="5"/>
        <v>103.51435021910378</v>
      </c>
      <c r="AC47">
        <f t="shared" si="24"/>
        <v>0.26175962634870903</v>
      </c>
      <c r="AD47">
        <f t="shared" si="12"/>
        <v>26399.724492621048</v>
      </c>
      <c r="AE47">
        <f t="shared" si="13"/>
        <v>120.60975791608666</v>
      </c>
      <c r="AF47">
        <f t="shared" si="25"/>
        <v>6.6045447144344385</v>
      </c>
      <c r="AG47">
        <f t="shared" si="14"/>
        <v>26224.800244741327</v>
      </c>
      <c r="AH47" s="69">
        <f t="shared" si="15"/>
        <v>3036.4209397603772</v>
      </c>
    </row>
    <row r="48" spans="1:34">
      <c r="L48" s="68">
        <f t="shared" si="18"/>
        <v>450</v>
      </c>
      <c r="M48" cm="1">
        <f t="array" ref="M48">L48/Linterp(M$5,atmos_h,atmos_aspeed)</f>
        <v>0.40306328093510679</v>
      </c>
      <c r="N48" cm="1">
        <f t="array" ref="N48">1*W/(S*0.5*Linterp(M$5,atmos_h,atmos_rho)*L48*L48)</f>
        <v>9.8934649923995435E-2</v>
      </c>
      <c r="O48">
        <f t="shared" si="20"/>
        <v>2.0606860027246179E-2</v>
      </c>
      <c r="P48">
        <f t="shared" si="1"/>
        <v>187.45883306575897</v>
      </c>
      <c r="Q48">
        <f t="shared" si="21"/>
        <v>0.92575971865978024</v>
      </c>
      <c r="R48">
        <f t="shared" si="8"/>
        <v>26996.475677720817</v>
      </c>
      <c r="S48">
        <f t="shared" si="9"/>
        <v>436.235008027231</v>
      </c>
      <c r="T48">
        <f t="shared" si="22"/>
        <v>12.022019630179436</v>
      </c>
      <c r="U48">
        <f t="shared" si="10"/>
        <v>26407.825872552661</v>
      </c>
      <c r="V48" s="69">
        <f t="shared" si="11"/>
        <v>5623.7649919727701</v>
      </c>
      <c r="X48" s="68">
        <f t="shared" si="19"/>
        <v>450</v>
      </c>
      <c r="Y48" cm="1">
        <f t="array" ref="Y48">X48/Linterp($Y$5,atmos_h,atmos_aspeed)</f>
        <v>0.43400534629129489</v>
      </c>
      <c r="Z48" cm="1">
        <f t="array" ref="Z48">1*W/(S*0.5*Linterp($Y$5,atmos_h,atmos_rho)*X48*X48)</f>
        <v>0.18568738639372925</v>
      </c>
      <c r="AA48">
        <f t="shared" si="23"/>
        <v>2.2137747938875515E-2</v>
      </c>
      <c r="AB48">
        <f t="shared" si="5"/>
        <v>107.29847369783867</v>
      </c>
      <c r="AC48">
        <f t="shared" si="24"/>
        <v>2.085393347970424E-2</v>
      </c>
      <c r="AD48">
        <f t="shared" si="12"/>
        <v>26999.998211600803</v>
      </c>
      <c r="AE48">
        <f t="shared" si="13"/>
        <v>9.8271844157689259</v>
      </c>
      <c r="AF48">
        <f t="shared" si="25"/>
        <v>6.8471190867082932</v>
      </c>
      <c r="AG48">
        <f t="shared" si="14"/>
        <v>26807.43057042026</v>
      </c>
      <c r="AH48" s="69">
        <f t="shared" si="15"/>
        <v>3218.9542109351601</v>
      </c>
    </row>
    <row r="49" spans="12:34">
      <c r="L49" s="68">
        <f t="shared" si="18"/>
        <v>460</v>
      </c>
      <c r="M49" cm="1">
        <f t="array" ref="M49">L49/Linterp(M$5,atmos_h,atmos_aspeed)</f>
        <v>0.41202024273366472</v>
      </c>
      <c r="N49" cm="1">
        <f t="array" ref="N49">1*W/(S*0.5*Linterp(M$5,atmos_h,atmos_rho)*L49*L49)</f>
        <v>9.4679898911196034E-2</v>
      </c>
      <c r="O49">
        <f t="shared" si="20"/>
        <v>2.0555785561985725E-2</v>
      </c>
      <c r="P49">
        <f t="shared" si="1"/>
        <v>195.39740978324468</v>
      </c>
      <c r="Q49">
        <f t="shared" si="21"/>
        <v>0.42033771856934127</v>
      </c>
      <c r="R49">
        <f t="shared" si="8"/>
        <v>27599.257274047883</v>
      </c>
      <c r="S49">
        <f t="shared" si="9"/>
        <v>202.47943331382976</v>
      </c>
      <c r="T49">
        <f t="shared" si="22"/>
        <v>12.539242163241717</v>
      </c>
      <c r="U49">
        <f t="shared" si="10"/>
        <v>26941.672037207401</v>
      </c>
      <c r="V49" s="69">
        <f t="shared" si="11"/>
        <v>5992.1872333528372</v>
      </c>
      <c r="X49" s="68">
        <f t="shared" si="19"/>
        <v>460</v>
      </c>
      <c r="Y49" cm="1">
        <f t="array" ref="Y49">X49/Linterp($Y$5,atmos_h,atmos_aspeed)</f>
        <v>0.44364990954221256</v>
      </c>
      <c r="Z49" cm="1">
        <f t="array" ref="Z49">1*W/(S*0.5*Linterp($Y$5,atmos_h,atmos_rho)*X49*X49)</f>
        <v>0.17770177573123902</v>
      </c>
      <c r="AA49">
        <f t="shared" si="23"/>
        <v>2.1957831108078207E-2</v>
      </c>
      <c r="AB49">
        <f t="shared" si="5"/>
        <v>111.20906313935232</v>
      </c>
      <c r="AC49">
        <f t="shared" si="24"/>
        <v>-0.22810252553913804</v>
      </c>
      <c r="AD49">
        <f t="shared" si="12"/>
        <v>27599.781277512939</v>
      </c>
      <c r="AE49">
        <f t="shared" si="13"/>
        <v>-109.87917658141035</v>
      </c>
      <c r="AF49">
        <f t="shared" si="25"/>
        <v>7.0979300191636483</v>
      </c>
      <c r="AG49">
        <f t="shared" si="14"/>
        <v>27388.484714787326</v>
      </c>
      <c r="AH49" s="69">
        <f t="shared" si="15"/>
        <v>3410.411269606805</v>
      </c>
    </row>
    <row r="50" spans="12:34">
      <c r="L50" s="68">
        <f t="shared" si="18"/>
        <v>470</v>
      </c>
      <c r="M50" cm="1">
        <f t="array" ref="M50">L50/Linterp(M$5,atmos_h,atmos_aspeed)</f>
        <v>0.42097720453222265</v>
      </c>
      <c r="N50" cm="1">
        <f t="array" ref="N50">1*W/(S*0.5*Linterp(M$5,atmos_h,atmos_rho)*L50*L50)</f>
        <v>9.0693828019959594E-2</v>
      </c>
      <c r="O50">
        <f t="shared" si="20"/>
        <v>2.050997296733667E-2</v>
      </c>
      <c r="P50">
        <f t="shared" si="1"/>
        <v>203.53067097951376</v>
      </c>
      <c r="Q50">
        <f t="shared" si="21"/>
        <v>-9.744558803227793E-2</v>
      </c>
      <c r="R50">
        <f t="shared" si="8"/>
        <v>28199.959215221828</v>
      </c>
      <c r="S50">
        <f t="shared" si="9"/>
        <v>-47.96102402476442</v>
      </c>
      <c r="T50">
        <f t="shared" si="22"/>
        <v>13.070228585138018</v>
      </c>
      <c r="U50">
        <f t="shared" si="10"/>
        <v>27469.439686306101</v>
      </c>
      <c r="V50" s="69">
        <f t="shared" si="11"/>
        <v>6377.2943573580969</v>
      </c>
      <c r="X50" s="68">
        <f t="shared" si="19"/>
        <v>470</v>
      </c>
      <c r="Y50" cm="1">
        <f t="array" ref="Y50">X50/Linterp($Y$5,atmos_h,atmos_aspeed)</f>
        <v>0.45329447279313023</v>
      </c>
      <c r="Z50" cm="1">
        <f t="array" ref="Z50">1*W/(S*0.5*Linterp($Y$5,atmos_h,atmos_rho)*X50*X50)</f>
        <v>0.17022044248406598</v>
      </c>
      <c r="AA50">
        <f t="shared" si="23"/>
        <v>2.1796449940447216E-2</v>
      </c>
      <c r="AB50">
        <f t="shared" si="5"/>
        <v>115.24353162364024</v>
      </c>
      <c r="AC50">
        <f t="shared" si="24"/>
        <v>-0.48494995398625529</v>
      </c>
      <c r="AD50">
        <f t="shared" si="12"/>
        <v>28198.989898304575</v>
      </c>
      <c r="AE50">
        <f t="shared" si="13"/>
        <v>-238.68120017420145</v>
      </c>
      <c r="AF50">
        <f t="shared" si="25"/>
        <v>7.356829513825951</v>
      </c>
      <c r="AG50">
        <f t="shared" si="14"/>
        <v>27967.855460449788</v>
      </c>
      <c r="AH50" s="69">
        <f t="shared" si="15"/>
        <v>3610.963990874061</v>
      </c>
    </row>
    <row r="51" spans="12:34">
      <c r="L51" s="68">
        <f t="shared" si="18"/>
        <v>480</v>
      </c>
      <c r="M51" cm="1">
        <f t="array" ref="M51">L51/Linterp(M$5,atmos_h,atmos_aspeed)</f>
        <v>0.42993416633078058</v>
      </c>
      <c r="N51" cm="1">
        <f t="array" ref="N51">1*W/(S*0.5*Linterp(M$5,atmos_h,atmos_rho)*L51*L51)</f>
        <v>8.6954282159761628E-2</v>
      </c>
      <c r="O51">
        <f t="shared" si="20"/>
        <v>2.0468784925527006E-2</v>
      </c>
      <c r="P51">
        <f t="shared" si="1"/>
        <v>211.85738040051467</v>
      </c>
      <c r="Q51">
        <f t="shared" si="21"/>
        <v>-0.62755287401688864</v>
      </c>
      <c r="R51">
        <f t="shared" si="8"/>
        <v>28798.272517998001</v>
      </c>
      <c r="S51">
        <f t="shared" si="9"/>
        <v>-315.43617281646948</v>
      </c>
      <c r="T51">
        <f t="shared" si="22"/>
        <v>13.615030979328292</v>
      </c>
      <c r="U51">
        <f t="shared" si="10"/>
        <v>27990.699262053233</v>
      </c>
      <c r="V51" s="69">
        <f t="shared" si="11"/>
        <v>6779.4361728164695</v>
      </c>
      <c r="X51" s="68">
        <f t="shared" si="19"/>
        <v>480</v>
      </c>
      <c r="Y51" cm="1">
        <f t="array" ref="Y51">X51/Linterp($Y$5,atmos_h,atmos_aspeed)</f>
        <v>0.4629390360440479</v>
      </c>
      <c r="Z51" cm="1">
        <f t="array" ref="Z51">1*W/(S*0.5*Linterp($Y$5,atmos_h,atmos_rho)*X51*X51)</f>
        <v>0.16320180444761362</v>
      </c>
      <c r="AA51">
        <f t="shared" si="23"/>
        <v>2.1651359396447342E-2</v>
      </c>
      <c r="AB51">
        <f t="shared" si="5"/>
        <v>119.39955886368597</v>
      </c>
      <c r="AC51">
        <f t="shared" si="24"/>
        <v>-0.74954645474497206</v>
      </c>
      <c r="AD51">
        <f t="shared" si="12"/>
        <v>28797.535617352107</v>
      </c>
      <c r="AE51">
        <f t="shared" si="13"/>
        <v>-376.75239526362657</v>
      </c>
      <c r="AF51">
        <f t="shared" si="25"/>
        <v>7.6236877555017681</v>
      </c>
      <c r="AG51">
        <f t="shared" si="14"/>
        <v>28545.430373903859</v>
      </c>
      <c r="AH51" s="69">
        <f t="shared" si="15"/>
        <v>3820.785883637951</v>
      </c>
    </row>
    <row r="52" spans="12:34">
      <c r="L52" s="68">
        <f t="shared" si="18"/>
        <v>490</v>
      </c>
      <c r="M52" cm="1">
        <f t="array" ref="M52">L52/Linterp(M$5,atmos_h,atmos_aspeed)</f>
        <v>0.4388911281293385</v>
      </c>
      <c r="N52" cm="1">
        <f t="array" ref="N52">1*W/(S*0.5*Linterp(M$5,atmos_h,atmos_rho)*L52*L52)</f>
        <v>8.3441343646851629E-2</v>
      </c>
      <c r="O52">
        <f t="shared" si="20"/>
        <v>2.0431672385434703E-2</v>
      </c>
      <c r="P52">
        <f t="shared" si="1"/>
        <v>220.37642663949433</v>
      </c>
      <c r="Q52">
        <f t="shared" si="21"/>
        <v>-1.1699609577848096</v>
      </c>
      <c r="R52">
        <f t="shared" si="8"/>
        <v>29393.870857506299</v>
      </c>
      <c r="S52">
        <f t="shared" si="9"/>
        <v>-600.29660355681472</v>
      </c>
      <c r="T52">
        <f t="shared" si="22"/>
        <v>14.173719652788183</v>
      </c>
      <c r="U52">
        <f t="shared" si="10"/>
        <v>28504.998295631827</v>
      </c>
      <c r="V52" s="69">
        <f t="shared" si="11"/>
        <v>7198.9632702234812</v>
      </c>
      <c r="X52" s="68">
        <f t="shared" si="19"/>
        <v>490</v>
      </c>
      <c r="Y52" cm="1">
        <f t="array" ref="Y52">X52/Linterp($Y$5,atmos_h,atmos_aspeed)</f>
        <v>0.47258359929496557</v>
      </c>
      <c r="Z52" cm="1">
        <f t="array" ref="Z52">1*W/(S*0.5*Linterp($Y$5,atmos_h,atmos_rho)*X52*X52)</f>
        <v>0.15660847873690203</v>
      </c>
      <c r="AA52">
        <f t="shared" si="23"/>
        <v>2.1520625367961774E-2</v>
      </c>
      <c r="AB52">
        <f t="shared" si="5"/>
        <v>123.67505889450759</v>
      </c>
      <c r="AC52">
        <f t="shared" si="24"/>
        <v>-1.0217660175309835</v>
      </c>
      <c r="AD52">
        <f t="shared" si="12"/>
        <v>29395.325195327601</v>
      </c>
      <c r="AE52">
        <f t="shared" si="13"/>
        <v>-524.2677378384584</v>
      </c>
      <c r="AF52">
        <f t="shared" si="25"/>
        <v>7.898391112979942</v>
      </c>
      <c r="AG52">
        <f t="shared" si="14"/>
        <v>29121.091676863609</v>
      </c>
      <c r="AH52" s="69">
        <f t="shared" si="15"/>
        <v>4040.0519238872484</v>
      </c>
    </row>
    <row r="53" spans="12:34">
      <c r="L53" s="68">
        <f t="shared" si="18"/>
        <v>500</v>
      </c>
      <c r="M53" cm="1">
        <f t="array" ref="M53">L53/Linterp(M$5,atmos_h,atmos_aspeed)</f>
        <v>0.44784808992789643</v>
      </c>
      <c r="N53" cm="1">
        <f t="array" ref="N53">1*W/(S*0.5*Linterp(M$5,atmos_h,atmos_rho)*L53*L53)</f>
        <v>8.0137066438436322E-2</v>
      </c>
      <c r="O53">
        <f t="shared" si="20"/>
        <v>2.0398160863876219E-2</v>
      </c>
      <c r="P53">
        <f t="shared" si="1"/>
        <v>229.0868083072647</v>
      </c>
      <c r="Q53">
        <f t="shared" si="21"/>
        <v>-1.7246602059285923</v>
      </c>
      <c r="R53">
        <f t="shared" si="8"/>
        <v>29986.409973996284</v>
      </c>
      <c r="S53">
        <f t="shared" si="9"/>
        <v>-902.8936102421568</v>
      </c>
      <c r="T53">
        <f t="shared" si="22"/>
        <v>14.746382919280947</v>
      </c>
      <c r="U53">
        <f t="shared" si="10"/>
        <v>29011.860299991309</v>
      </c>
      <c r="V53" s="69">
        <f t="shared" si="11"/>
        <v>7636.2269435754897</v>
      </c>
      <c r="X53" s="68">
        <f t="shared" si="19"/>
        <v>500</v>
      </c>
      <c r="Y53" cm="1">
        <f t="array" ref="Y53">X53/Linterp($Y$5,atmos_h,atmos_aspeed)</f>
        <v>0.48222816254588324</v>
      </c>
      <c r="Z53" cm="1">
        <f t="array" ref="Z53">1*W/(S*0.5*Linterp($Y$5,atmos_h,atmos_rho)*X53*X53)</f>
        <v>0.15040678297892071</v>
      </c>
      <c r="AA53">
        <f t="shared" si="23"/>
        <v>2.1402576422696225E-2</v>
      </c>
      <c r="AB53">
        <f t="shared" si="5"/>
        <v>128.06815223969113</v>
      </c>
      <c r="AC53">
        <f t="shared" si="24"/>
        <v>-1.3014967931054175</v>
      </c>
      <c r="AD53">
        <f t="shared" si="12"/>
        <v>29992.260488951433</v>
      </c>
      <c r="AE53">
        <f t="shared" si="13"/>
        <v>-681.40352426644984</v>
      </c>
      <c r="AF53">
        <f t="shared" si="25"/>
        <v>8.1808404283759621</v>
      </c>
      <c r="AG53">
        <f t="shared" si="14"/>
        <v>29694.716110257566</v>
      </c>
      <c r="AH53" s="69">
        <f t="shared" si="15"/>
        <v>4268.9384079897036</v>
      </c>
    </row>
    <row r="54" spans="12:34">
      <c r="L54" s="68">
        <f t="shared" si="18"/>
        <v>510</v>
      </c>
      <c r="M54" cm="1">
        <f t="array" ref="M54">L54/Linterp(M$5,atmos_h,atmos_aspeed)</f>
        <v>0.45680505172645436</v>
      </c>
      <c r="N54" cm="1">
        <f t="array" ref="N54">1*W/(S*0.5*Linterp(M$5,atmos_h,atmos_rho)*L54*L54)</f>
        <v>7.7025246480619286E-2</v>
      </c>
      <c r="O54">
        <f t="shared" si="20"/>
        <v>2.036783909291481E-2</v>
      </c>
      <c r="P54">
        <f t="shared" si="1"/>
        <v>237.98762121761854</v>
      </c>
      <c r="Q54">
        <f t="shared" si="21"/>
        <v>-2.2916540872072222</v>
      </c>
      <c r="R54">
        <f t="shared" si="8"/>
        <v>30575.527045885512</v>
      </c>
      <c r="S54">
        <f t="shared" si="9"/>
        <v>-1223.5791213990299</v>
      </c>
      <c r="T54">
        <f t="shared" si="22"/>
        <v>15.333127072078298</v>
      </c>
      <c r="U54">
        <f t="shared" si="10"/>
        <v>29510.78357689167</v>
      </c>
      <c r="V54" s="69">
        <f t="shared" si="11"/>
        <v>8091.5791213990306</v>
      </c>
      <c r="X54" s="68">
        <f t="shared" si="19"/>
        <v>510</v>
      </c>
      <c r="Y54" cm="1">
        <f t="array" ref="Y54">X54/Linterp($Y$5,atmos_h,atmos_aspeed)</f>
        <v>0.49187272579680086</v>
      </c>
      <c r="Z54" cm="1">
        <f t="array" ref="Z54">1*W/(S*0.5*Linterp($Y$5,atmos_h,atmos_rho)*X54*X54)</f>
        <v>0.14456630428577538</v>
      </c>
      <c r="AA54">
        <f t="shared" si="23"/>
        <v>2.1295763812760538E-2</v>
      </c>
      <c r="AB54">
        <f t="shared" si="5"/>
        <v>132.5771418600921</v>
      </c>
      <c r="AC54">
        <f t="shared" si="24"/>
        <v>-1.5886396102793066</v>
      </c>
      <c r="AD54">
        <f t="shared" si="12"/>
        <v>30588.238326587198</v>
      </c>
      <c r="AE54">
        <f t="shared" si="13"/>
        <v>-848.33724184541177</v>
      </c>
      <c r="AF54">
        <f t="shared" si="25"/>
        <v>8.4709495503990997</v>
      </c>
      <c r="AG54">
        <f t="shared" si="14"/>
        <v>30266.174791066307</v>
      </c>
      <c r="AH54" s="69">
        <f t="shared" si="15"/>
        <v>4507.6228232431322</v>
      </c>
    </row>
    <row r="55" spans="12:34">
      <c r="L55" s="68">
        <f t="shared" si="18"/>
        <v>520</v>
      </c>
      <c r="M55" cm="1">
        <f t="array" ref="M55">L55/Linterp(M$5,atmos_h,atmos_aspeed)</f>
        <v>0.46576201352501229</v>
      </c>
      <c r="N55" cm="1">
        <f t="array" ref="N55">1*W/(S*0.5*Linterp(M$5,atmos_h,atmos_rho)*L55*L55)</f>
        <v>7.4091222668672629E-2</v>
      </c>
      <c r="O55">
        <f t="shared" si="20"/>
        <v>2.0340349575145408E-2</v>
      </c>
      <c r="P55">
        <f t="shared" si="1"/>
        <v>247.0780472809119</v>
      </c>
      <c r="Q55">
        <f t="shared" si="21"/>
        <v>-2.8709588601132574</v>
      </c>
      <c r="R55">
        <f t="shared" si="8"/>
        <v>31160.840025352558</v>
      </c>
      <c r="S55">
        <f t="shared" si="9"/>
        <v>-1562.7056390716127</v>
      </c>
      <c r="T55">
        <f t="shared" si="22"/>
        <v>15.934076533560861</v>
      </c>
      <c r="U55">
        <f t="shared" si="10"/>
        <v>30001.239928777806</v>
      </c>
      <c r="V55" s="69">
        <f t="shared" si="11"/>
        <v>8565.3723057382776</v>
      </c>
      <c r="X55" s="68">
        <f t="shared" si="19"/>
        <v>520</v>
      </c>
      <c r="Y55" cm="1">
        <f t="array" ref="Y55">X55/Linterp($Y$5,atmos_h,atmos_aspeed)</f>
        <v>0.50151728904771853</v>
      </c>
      <c r="Z55" cm="1">
        <f t="array" ref="Z55">1*W/(S*0.5*Linterp($Y$5,atmos_h,atmos_rho)*X55*X55)</f>
        <v>0.13905952568317373</v>
      </c>
      <c r="AA55">
        <f t="shared" si="23"/>
        <v>2.1198928204360215E-2</v>
      </c>
      <c r="AB55">
        <f t="shared" si="5"/>
        <v>137.20049230854499</v>
      </c>
      <c r="AC55">
        <f t="shared" si="24"/>
        <v>-1.8831066991016092</v>
      </c>
      <c r="AD55">
        <f t="shared" si="12"/>
        <v>31183.150380573647</v>
      </c>
      <c r="AE55">
        <f t="shared" si="13"/>
        <v>-1025.2474542907084</v>
      </c>
      <c r="AF55">
        <f t="shared" si="25"/>
        <v>8.7686440749443388</v>
      </c>
      <c r="AG55">
        <f t="shared" si="14"/>
        <v>30835.333062053138</v>
      </c>
      <c r="AH55" s="69">
        <f t="shared" si="15"/>
        <v>4756.2837333628931</v>
      </c>
    </row>
    <row r="56" spans="12:34">
      <c r="L56" s="68">
        <f t="shared" si="18"/>
        <v>530</v>
      </c>
      <c r="M56" cm="1">
        <f t="array" ref="M56">L56/Linterp(M$5,atmos_h,atmos_aspeed)</f>
        <v>0.47471897532357021</v>
      </c>
      <c r="N56" cm="1">
        <f t="array" ref="N56">1*W/(S*0.5*Linterp(M$5,atmos_h,atmos_rho)*L56*L56)</f>
        <v>7.1321703843392953E-2</v>
      </c>
      <c r="O56">
        <f t="shared" si="20"/>
        <v>2.0315380697225729E-2</v>
      </c>
      <c r="P56">
        <f t="shared" si="1"/>
        <v>256.35734485046123</v>
      </c>
      <c r="Q56">
        <f t="shared" si="21"/>
        <v>-3.462603379904035</v>
      </c>
      <c r="R56">
        <f t="shared" si="8"/>
        <v>31741.946932388724</v>
      </c>
      <c r="S56">
        <f t="shared" si="9"/>
        <v>-1920.6261847162968</v>
      </c>
      <c r="T56">
        <f t="shared" si="22"/>
        <v>16.54937417338023</v>
      </c>
      <c r="U56">
        <f t="shared" si="10"/>
        <v>30482.673264813471</v>
      </c>
      <c r="V56" s="69">
        <f t="shared" si="11"/>
        <v>9057.9595180496308</v>
      </c>
      <c r="X56" s="68">
        <f t="shared" si="19"/>
        <v>530</v>
      </c>
      <c r="Y56" cm="1">
        <f t="array" ref="Y56">X56/Linterp($Y$5,atmos_h,atmos_aspeed)</f>
        <v>0.5111618522986362</v>
      </c>
      <c r="Z56" cm="1">
        <f t="array" ref="Z56">1*W/(S*0.5*Linterp($Y$5,atmos_h,atmos_rho)*X56*X56)</f>
        <v>0.13386150140523381</v>
      </c>
      <c r="AA56">
        <f t="shared" si="23"/>
        <v>2.1110971896624732E-2</v>
      </c>
      <c r="AB56">
        <f t="shared" si="5"/>
        <v>141.93681161131357</v>
      </c>
      <c r="AC56">
        <f t="shared" si="24"/>
        <v>-2.1848205897951924</v>
      </c>
      <c r="AD56">
        <f t="shared" si="12"/>
        <v>31776.883036137137</v>
      </c>
      <c r="AE56">
        <f t="shared" si="13"/>
        <v>-1212.3137001864297</v>
      </c>
      <c r="AF56">
        <f t="shared" si="25"/>
        <v>9.0738602626116815</v>
      </c>
      <c r="AG56">
        <f t="shared" si="14"/>
        <v>31402.050334336851</v>
      </c>
      <c r="AH56" s="69">
        <f t="shared" si="15"/>
        <v>5015.1006769330788</v>
      </c>
    </row>
    <row r="57" spans="12:34">
      <c r="L57" s="68">
        <f t="shared" si="18"/>
        <v>540</v>
      </c>
      <c r="M57" cm="1">
        <f t="array" ref="M57">L57/Linterp(M$5,atmos_h,atmos_aspeed)</f>
        <v>0.48367593712212814</v>
      </c>
      <c r="N57" cm="1">
        <f t="array" ref="N57">1*W/(S*0.5*Linterp(M$5,atmos_h,atmos_rho)*L57*L57)</f>
        <v>6.8704618002774623E-2</v>
      </c>
      <c r="O57">
        <f t="shared" si="20"/>
        <v>2.0292660121164246E-2</v>
      </c>
      <c r="P57">
        <f t="shared" ref="P57:P65" si="26">W*O57/N57</f>
        <v>265.82484030855477</v>
      </c>
      <c r="Q57">
        <f t="shared" si="21"/>
        <v>-4.0666290139753691</v>
      </c>
      <c r="R57">
        <f t="shared" si="8"/>
        <v>32318.425102848458</v>
      </c>
      <c r="S57">
        <f t="shared" si="9"/>
        <v>-2297.6942511079719</v>
      </c>
      <c r="T57">
        <f t="shared" si="22"/>
        <v>17.179181790664366</v>
      </c>
      <c r="U57">
        <f t="shared" si="10"/>
        <v>30954.498088974258</v>
      </c>
      <c r="V57" s="69">
        <f t="shared" si="11"/>
        <v>9569.6942511079724</v>
      </c>
      <c r="X57" s="68">
        <f t="shared" si="19"/>
        <v>540</v>
      </c>
      <c r="Y57" cm="1">
        <f t="array" ref="Y57">X57/Linterp($Y$5,atmos_h,atmos_aspeed)</f>
        <v>0.52080641554955387</v>
      </c>
      <c r="Z57" cm="1">
        <f t="array" ref="Z57">1*W/(S*0.5*Linterp($Y$5,atmos_h,atmos_rho)*X57*X57)</f>
        <v>0.12894957388453421</v>
      </c>
      <c r="AA57">
        <f t="shared" si="23"/>
        <v>2.1030935541510185E-2</v>
      </c>
      <c r="AB57">
        <f t="shared" si="5"/>
        <v>146.78483547613575</v>
      </c>
      <c r="AC57">
        <f t="shared" si="24"/>
        <v>-2.493713162048746</v>
      </c>
      <c r="AD57">
        <f t="shared" si="12"/>
        <v>32369.317256684652</v>
      </c>
      <c r="AE57">
        <f t="shared" si="13"/>
        <v>-1409.7164027197723</v>
      </c>
      <c r="AF57">
        <f t="shared" si="25"/>
        <v>9.3865441078215071</v>
      </c>
      <c r="AG57">
        <f t="shared" si="14"/>
        <v>31966.179922665451</v>
      </c>
      <c r="AH57" s="69">
        <f t="shared" si="15"/>
        <v>5284.2540771408876</v>
      </c>
    </row>
    <row r="58" spans="12:34">
      <c r="L58" s="68">
        <f t="shared" si="18"/>
        <v>550</v>
      </c>
      <c r="M58" cm="1">
        <f t="array" ref="M58">L58/Linterp(M$5,atmos_h,atmos_aspeed)</f>
        <v>0.49263289892068607</v>
      </c>
      <c r="N58" cm="1">
        <f t="array" ref="N58">1*W/(S*0.5*Linterp(M$5,atmos_h,atmos_rho)*L58*L58)</f>
        <v>6.6228980527633319E-2</v>
      </c>
      <c r="O58">
        <f t="shared" si="20"/>
        <v>2.0271949227427238E-2</v>
      </c>
      <c r="P58">
        <f t="shared" si="26"/>
        <v>275.47992071344186</v>
      </c>
      <c r="Q58">
        <f t="shared" si="21"/>
        <v>-4.6830896570083942</v>
      </c>
      <c r="R58">
        <f t="shared" si="8"/>
        <v>32889.830385611342</v>
      </c>
      <c r="S58">
        <f t="shared" si="9"/>
        <v>-2694.2637594928683</v>
      </c>
      <c r="T58">
        <f t="shared" si="22"/>
        <v>17.82368075924532</v>
      </c>
      <c r="U58">
        <f t="shared" si="10"/>
        <v>31416.097856447494</v>
      </c>
      <c r="V58" s="69">
        <f t="shared" si="11"/>
        <v>10100.930426159533</v>
      </c>
      <c r="X58" s="68">
        <f t="shared" si="19"/>
        <v>550</v>
      </c>
      <c r="Y58" cm="1">
        <f t="array" ref="Y58">X58/Linterp($Y$5,atmos_h,atmos_aspeed)</f>
        <v>0.53045097880047154</v>
      </c>
      <c r="Z58" cm="1">
        <f t="array" ref="Z58">1*W/(S*0.5*Linterp($Y$5,atmos_h,atmos_rho)*X58*X58)</f>
        <v>0.12430312642886009</v>
      </c>
      <c r="AA58">
        <f t="shared" si="23"/>
        <v>2.0957978568879328E-2</v>
      </c>
      <c r="AB58">
        <f t="shared" si="5"/>
        <v>151.7434134915859</v>
      </c>
      <c r="AC58">
        <f t="shared" si="24"/>
        <v>-2.8097248234108538</v>
      </c>
      <c r="AD58">
        <f t="shared" si="12"/>
        <v>32960.328445238891</v>
      </c>
      <c r="AE58">
        <f t="shared" si="13"/>
        <v>-1617.6367892625697</v>
      </c>
      <c r="AF58">
        <f t="shared" si="25"/>
        <v>9.7066505383516901</v>
      </c>
      <c r="AG58">
        <f t="shared" si="14"/>
        <v>32527.568873169817</v>
      </c>
      <c r="AH58" s="69">
        <f t="shared" si="15"/>
        <v>5563.9251613581491</v>
      </c>
    </row>
    <row r="59" spans="12:34">
      <c r="L59" s="68">
        <f t="shared" si="18"/>
        <v>560</v>
      </c>
      <c r="M59" cm="1">
        <f t="array" ref="M59">L59/Linterp(M$5,atmos_h,atmos_aspeed)</f>
        <v>0.50158986071924405</v>
      </c>
      <c r="N59" cm="1">
        <f t="array" ref="N59">1*W/(S*0.5*Linterp(M$5,atmos_h,atmos_rho)*L59*L59)</f>
        <v>6.3884778729620784E-2</v>
      </c>
      <c r="O59">
        <f t="shared" si="20"/>
        <v>2.0253038427106622E-2</v>
      </c>
      <c r="P59">
        <f t="shared" si="26"/>
        <v>285.3220273571128</v>
      </c>
      <c r="Q59">
        <f t="shared" si="21"/>
        <v>-5.3120518395181939</v>
      </c>
      <c r="R59">
        <f t="shared" si="8"/>
        <v>33455.696283481586</v>
      </c>
      <c r="S59">
        <f t="shared" si="9"/>
        <v>-3110.6890213322108</v>
      </c>
      <c r="T59">
        <f t="shared" si="22"/>
        <v>18.483072838211029</v>
      </c>
      <c r="U59">
        <f t="shared" si="10"/>
        <v>31866.823182672375</v>
      </c>
      <c r="V59" s="69">
        <f t="shared" si="11"/>
        <v>10652.022354665545</v>
      </c>
      <c r="X59" s="68">
        <f t="shared" si="19"/>
        <v>560</v>
      </c>
      <c r="Y59" cm="1">
        <f t="array" ref="Y59">X59/Linterp($Y$5,atmos_h,atmos_aspeed)</f>
        <v>0.54009554205138921</v>
      </c>
      <c r="Z59" cm="1">
        <f t="array" ref="Z59">1*W/(S*0.5*Linterp($Y$5,atmos_h,atmos_rho)*X59*X59)</f>
        <v>0.11990336653294061</v>
      </c>
      <c r="AA59">
        <f t="shared" si="23"/>
        <v>2.0891362672967827E-2</v>
      </c>
      <c r="AB59">
        <f t="shared" si="5"/>
        <v>156.81149703586996</v>
      </c>
      <c r="AC59">
        <f t="shared" si="24"/>
        <v>-3.1328037989417838</v>
      </c>
      <c r="AD59">
        <f t="shared" si="12"/>
        <v>33549.786301742461</v>
      </c>
      <c r="AE59">
        <f t="shared" si="13"/>
        <v>-1836.2568195691001</v>
      </c>
      <c r="AF59">
        <f t="shared" si="25"/>
        <v>10.034142727547774</v>
      </c>
      <c r="AG59">
        <f t="shared" si="14"/>
        <v>33086.057783303026</v>
      </c>
      <c r="AH59" s="69">
        <f t="shared" si="15"/>
        <v>5854.295889339146</v>
      </c>
    </row>
    <row r="60" spans="12:34">
      <c r="L60" s="68">
        <f t="shared" si="18"/>
        <v>570</v>
      </c>
      <c r="M60" cm="1">
        <f t="array" ref="M60">L60/Linterp(M$5,atmos_h,atmos_aspeed)</f>
        <v>0.51054682251780192</v>
      </c>
      <c r="N60" cm="1">
        <f t="array" ref="N60">1*W/(S*0.5*Linterp(M$5,atmos_h,atmos_rho)*L60*L60)</f>
        <v>6.1662870451243697E-2</v>
      </c>
      <c r="O60">
        <f t="shared" si="20"/>
        <v>2.0235743194721784E-2</v>
      </c>
      <c r="P60">
        <f t="shared" si="26"/>
        <v>295.35065010717938</v>
      </c>
      <c r="Q60">
        <f t="shared" si="21"/>
        <v>-5.9535949253579128</v>
      </c>
      <c r="R60">
        <f t="shared" si="8"/>
        <v>34015.533031894047</v>
      </c>
      <c r="S60">
        <f t="shared" si="9"/>
        <v>-3547.3247040728161</v>
      </c>
      <c r="T60">
        <f t="shared" si="22"/>
        <v>19.157581153347781</v>
      </c>
      <c r="U60">
        <f t="shared" si="10"/>
        <v>32305.989887123855</v>
      </c>
      <c r="V60" s="69">
        <f t="shared" si="11"/>
        <v>11223.324704072817</v>
      </c>
      <c r="X60" s="68">
        <f t="shared" si="19"/>
        <v>570</v>
      </c>
      <c r="Y60" cm="1">
        <f t="array" ref="Y60">X60/Linterp($Y$5,atmos_h,atmos_aspeed)</f>
        <v>0.54974010530230688</v>
      </c>
      <c r="Z60" cm="1">
        <f t="array" ref="Z60">1*W/(S*0.5*Linterp($Y$5,atmos_h,atmos_rho)*X60*X60)</f>
        <v>0.11573313556395869</v>
      </c>
      <c r="AA60">
        <f t="shared" si="23"/>
        <v>2.0830437837382872E-2</v>
      </c>
      <c r="AB60">
        <f t="shared" si="5"/>
        <v>161.98812865727669</v>
      </c>
      <c r="AC60">
        <f t="shared" si="24"/>
        <v>-3.4629055170981471</v>
      </c>
      <c r="AD60">
        <f t="shared" si="12"/>
        <v>34137.554675925559</v>
      </c>
      <c r="AE60">
        <f t="shared" si="13"/>
        <v>-2065.759121532004</v>
      </c>
      <c r="AF60">
        <f t="shared" si="25"/>
        <v>10.368991504291639</v>
      </c>
      <c r="AG60">
        <f t="shared" si="14"/>
        <v>33641.4806136029</v>
      </c>
      <c r="AH60" s="69">
        <f t="shared" si="15"/>
        <v>6155.5488889765147</v>
      </c>
    </row>
    <row r="61" spans="12:34">
      <c r="L61" s="68">
        <f t="shared" si="18"/>
        <v>580</v>
      </c>
      <c r="M61" cm="1">
        <f t="array" ref="M61">L61/Linterp(M$5,atmos_h,atmos_aspeed)</f>
        <v>0.51950378431635991</v>
      </c>
      <c r="N61" cm="1">
        <f t="array" ref="N61">1*W/(S*0.5*Linterp(M$5,atmos_h,atmos_rho)*L61*L61)</f>
        <v>5.9554894796697608E-2</v>
      </c>
      <c r="O61">
        <f t="shared" si="20"/>
        <v>2.0219900700643233E-2</v>
      </c>
      <c r="P61">
        <f t="shared" si="26"/>
        <v>305.56532242565572</v>
      </c>
      <c r="Q61">
        <f t="shared" si="21"/>
        <v>-6.6078113954529778</v>
      </c>
      <c r="R61">
        <f t="shared" si="8"/>
        <v>34568.826608860487</v>
      </c>
      <c r="S61">
        <f t="shared" si="9"/>
        <v>-4004.5258004586881</v>
      </c>
      <c r="T61">
        <f t="shared" si="22"/>
        <v>19.847451358358022</v>
      </c>
      <c r="U61">
        <f t="shared" si="10"/>
        <v>32732.876851336852</v>
      </c>
      <c r="V61" s="69">
        <f t="shared" si="11"/>
        <v>11815.192467125356</v>
      </c>
      <c r="X61" s="68">
        <f t="shared" si="19"/>
        <v>580</v>
      </c>
      <c r="Y61" cm="1">
        <f t="array" ref="Y61">X61/Linterp($Y$5,atmos_h,atmos_aspeed)</f>
        <v>0.55938466855322455</v>
      </c>
      <c r="Z61" cm="1">
        <f t="array" ref="Z61">1*W/(S*0.5*Linterp($Y$5,atmos_h,atmos_rho)*X61*X61)</f>
        <v>0.11177674121501241</v>
      </c>
      <c r="AA61">
        <f t="shared" si="23"/>
        <v>2.0774630472352167E-2</v>
      </c>
      <c r="AB61">
        <f t="shared" si="5"/>
        <v>167.27243272508096</v>
      </c>
      <c r="AC61">
        <f t="shared" si="24"/>
        <v>-3.7999920791667412</v>
      </c>
      <c r="AD61">
        <f t="shared" si="12"/>
        <v>34723.491415400968</v>
      </c>
      <c r="AE61">
        <f t="shared" si="13"/>
        <v>-2306.3269335841555</v>
      </c>
      <c r="AF61">
        <f t="shared" si="25"/>
        <v>10.711174848169243</v>
      </c>
      <c r="AG61">
        <f t="shared" si="14"/>
        <v>34193.66449084966</v>
      </c>
      <c r="AH61" s="69">
        <f t="shared" si="15"/>
        <v>6467.8673987031307</v>
      </c>
    </row>
    <row r="62" spans="12:34">
      <c r="L62" s="68">
        <f t="shared" si="18"/>
        <v>590</v>
      </c>
      <c r="M62" cm="1">
        <f t="array" ref="M62">L62/Linterp(M$5,atmos_h,atmos_aspeed)</f>
        <v>0.52846074611491778</v>
      </c>
      <c r="N62" cm="1">
        <f t="array" ref="N62">1*W/(S*0.5*Linterp(M$5,atmos_h,atmos_rho)*L62*L62)</f>
        <v>5.7553193362852854E-2</v>
      </c>
      <c r="O62">
        <f t="shared" si="20"/>
        <v>2.0205366944108238E-2</v>
      </c>
      <c r="P62">
        <f t="shared" si="26"/>
        <v>315.96561697364712</v>
      </c>
      <c r="Q62">
        <f t="shared" si="21"/>
        <v>-7.2748072166125937</v>
      </c>
      <c r="R62">
        <f t="shared" si="8"/>
        <v>35115.037668861711</v>
      </c>
      <c r="S62">
        <f t="shared" si="9"/>
        <v>-4482.6476009634544</v>
      </c>
      <c r="T62">
        <f t="shared" si="22"/>
        <v>20.552952988218209</v>
      </c>
      <c r="U62">
        <f t="shared" si="10"/>
        <v>33146.723667607861</v>
      </c>
      <c r="V62" s="69">
        <f t="shared" si="11"/>
        <v>12427.980934296787</v>
      </c>
      <c r="X62" s="68">
        <f t="shared" si="19"/>
        <v>590</v>
      </c>
      <c r="Y62" cm="1">
        <f t="array" ref="Y62">X62/Linterp($Y$5,atmos_h,atmos_aspeed)</f>
        <v>0.56902923180414222</v>
      </c>
      <c r="Z62" cm="1">
        <f t="array" ref="Z62">1*W/(S*0.5*Linterp($Y$5,atmos_h,atmos_rho)*X62*X62)</f>
        <v>0.10801980966598729</v>
      </c>
      <c r="AA62">
        <f t="shared" si="23"/>
        <v>2.072343331537712E-2</v>
      </c>
      <c r="AB62">
        <f t="shared" si="5"/>
        <v>172.66360718012047</v>
      </c>
      <c r="AC62">
        <f t="shared" si="24"/>
        <v>-4.1440318015147986</v>
      </c>
      <c r="AD62">
        <f t="shared" si="12"/>
        <v>35307.44820861904</v>
      </c>
      <c r="AE62">
        <f t="shared" si="13"/>
        <v>-2558.1440529579645</v>
      </c>
      <c r="AF62">
        <f t="shared" si="25"/>
        <v>11.0606774592425</v>
      </c>
      <c r="AG62">
        <f t="shared" si="14"/>
        <v>34742.429502126819</v>
      </c>
      <c r="AH62" s="69">
        <f t="shared" si="15"/>
        <v>6791.4352157514049</v>
      </c>
    </row>
    <row r="63" spans="12:34">
      <c r="L63" s="68">
        <f t="shared" si="18"/>
        <v>600</v>
      </c>
      <c r="M63" cm="1">
        <f t="array" ref="M63">L63/Linterp(M$5,atmos_h,atmos_aspeed)</f>
        <v>0.53741770791347576</v>
      </c>
      <c r="N63" cm="1">
        <f t="array" ref="N63">1*W/(S*0.5*Linterp(M$5,atmos_h,atmos_rho)*L63*L63)</f>
        <v>5.5650740582247435E-2</v>
      </c>
      <c r="O63">
        <f t="shared" si="20"/>
        <v>2.0192014305495862E-2</v>
      </c>
      <c r="P63">
        <f t="shared" si="26"/>
        <v>326.55114172448941</v>
      </c>
      <c r="Q63">
        <f t="shared" si="21"/>
        <v>-7.9547022957400859</v>
      </c>
      <c r="R63">
        <f t="shared" si="8"/>
        <v>35653.600392557863</v>
      </c>
      <c r="S63">
        <f t="shared" si="9"/>
        <v>-4982.0456689795774</v>
      </c>
      <c r="T63">
        <f t="shared" si="22"/>
        <v>21.274381020800984</v>
      </c>
      <c r="U63">
        <f t="shared" si="10"/>
        <v>33546.728051204809</v>
      </c>
      <c r="V63" s="69">
        <f t="shared" si="11"/>
        <v>13062.045668979574</v>
      </c>
      <c r="X63" s="68">
        <f t="shared" si="19"/>
        <v>600</v>
      </c>
      <c r="Y63" cm="1">
        <f t="array" ref="Y63">X63/Linterp($Y$5,atmos_h,atmos_aspeed)</f>
        <v>0.57867379505505989</v>
      </c>
      <c r="Z63" cm="1">
        <f t="array" ref="Z63">1*W/(S*0.5*Linterp($Y$5,atmos_h,atmos_rho)*X63*X63)</f>
        <v>0.1044491548464727</v>
      </c>
      <c r="AA63">
        <f t="shared" si="23"/>
        <v>2.067639680878483E-2</v>
      </c>
      <c r="AB63">
        <f t="shared" si="5"/>
        <v>178.16091623966619</v>
      </c>
      <c r="AC63">
        <f t="shared" si="24"/>
        <v>-4.4949988215559857</v>
      </c>
      <c r="AD63">
        <f t="shared" si="12"/>
        <v>35889.270422285459</v>
      </c>
      <c r="AE63">
        <f t="shared" si="13"/>
        <v>-2821.3947891187422</v>
      </c>
      <c r="AF63">
        <f t="shared" si="25"/>
        <v>11.417490393476347</v>
      </c>
      <c r="AG63">
        <f t="shared" si="14"/>
        <v>35287.588479229184</v>
      </c>
      <c r="AH63" s="69">
        <f t="shared" si="15"/>
        <v>7126.436649586647</v>
      </c>
    </row>
    <row r="64" spans="12:34">
      <c r="L64" s="68">
        <f t="shared" si="18"/>
        <v>610</v>
      </c>
      <c r="M64" cm="1">
        <f t="array" ref="M64">L64/Linterp(M$5,atmos_h,atmos_aspeed)</f>
        <v>0.54637466971203363</v>
      </c>
      <c r="N64" cm="1">
        <f t="array" ref="N64">1*W/(S*0.5*Linterp(M$5,atmos_h,atmos_rho)*L64*L64)</f>
        <v>5.384108199303702E-2</v>
      </c>
      <c r="O64">
        <f t="shared" si="20"/>
        <v>2.017972945083122E-2</v>
      </c>
      <c r="P64">
        <f t="shared" si="26"/>
        <v>337.32153651921152</v>
      </c>
      <c r="Q64">
        <f t="shared" si="21"/>
        <v>-8.6476310211827627</v>
      </c>
      <c r="R64">
        <f t="shared" si="8"/>
        <v>36183.921243231969</v>
      </c>
      <c r="S64">
        <f t="shared" si="9"/>
        <v>-5503.0758184479346</v>
      </c>
      <c r="T64">
        <f t="shared" si="22"/>
        <v>22.01205766704911</v>
      </c>
      <c r="U64">
        <f t="shared" si="10"/>
        <v>33932.042984649212</v>
      </c>
      <c r="V64" s="69">
        <f t="shared" si="11"/>
        <v>13717.742485114602</v>
      </c>
      <c r="X64" s="68">
        <f t="shared" si="19"/>
        <v>610</v>
      </c>
      <c r="Y64" cm="1">
        <f t="array" ref="Y64">X64/Linterp($Y$5,atmos_h,atmos_aspeed)</f>
        <v>0.58831835830597756</v>
      </c>
      <c r="Z64" cm="1">
        <f t="array" ref="Z64">1*W/(S*0.5*Linterp($Y$5,atmos_h,atmos_rho)*X64*X64)</f>
        <v>0.10105266257653903</v>
      </c>
      <c r="AA64">
        <f t="shared" si="23"/>
        <v>2.0633121718056088E-2</v>
      </c>
      <c r="AB64">
        <f t="shared" si="5"/>
        <v>183.76368393247813</v>
      </c>
      <c r="AC64">
        <f t="shared" si="24"/>
        <v>-4.8528727597018486</v>
      </c>
      <c r="AD64">
        <f t="shared" si="12"/>
        <v>36468.796932812213</v>
      </c>
      <c r="AE64">
        <f t="shared" si="13"/>
        <v>-3096.2639217784067</v>
      </c>
      <c r="AF64">
        <f t="shared" si="25"/>
        <v>11.781610756257187</v>
      </c>
      <c r="AG64">
        <f t="shared" si="14"/>
        <v>35828.946772796909</v>
      </c>
      <c r="AH64" s="69">
        <f t="shared" si="15"/>
        <v>7473.0564799207796</v>
      </c>
    </row>
    <row r="65" spans="12:34">
      <c r="L65" s="70">
        <f t="shared" si="18"/>
        <v>620</v>
      </c>
      <c r="M65" cm="1">
        <f t="array" ref="M65">L65/Linterp(M$5,atmos_h,atmos_aspeed)</f>
        <v>0.55533163151059162</v>
      </c>
      <c r="N65" cm="1">
        <f t="array" ref="N65">1*W/(S*0.5*Linterp(M$5,atmos_h,atmos_rho)*L65*L65)</f>
        <v>5.2118279421459621E-2</v>
      </c>
      <c r="O65" s="32">
        <f t="shared" si="20"/>
        <v>2.0168411533090909E-2</v>
      </c>
      <c r="P65" s="32">
        <f t="shared" si="26"/>
        <v>348.27647000771748</v>
      </c>
      <c r="Q65" s="32">
        <f t="shared" si="21"/>
        <v>-9.3537428943667162</v>
      </c>
      <c r="R65">
        <f t="shared" si="8"/>
        <v>36705.37761978076</v>
      </c>
      <c r="S65">
        <f t="shared" si="9"/>
        <v>-6046.0940936523211</v>
      </c>
      <c r="T65">
        <f t="shared" si="22"/>
        <v>22.766334414702133</v>
      </c>
      <c r="U65">
        <f t="shared" si="10"/>
        <v>34301.773557563887</v>
      </c>
      <c r="V65" s="69">
        <f t="shared" si="11"/>
        <v>14395.42742698566</v>
      </c>
      <c r="X65" s="70">
        <f t="shared" si="19"/>
        <v>620</v>
      </c>
      <c r="Y65" s="32" cm="1">
        <f t="array" ref="Y65">X65/Linterp($Y$5,atmos_h,atmos_aspeed)</f>
        <v>0.59796292155689523</v>
      </c>
      <c r="Z65" s="32" cm="1">
        <f t="array" ref="Z65">1*W/(S*0.5*Linterp($Y$5,atmos_h,atmos_rho)*X65*X65)</f>
        <v>9.7819187681400036E-2</v>
      </c>
      <c r="AA65" s="32">
        <f t="shared" si="23"/>
        <v>2.0593252795676236E-2</v>
      </c>
      <c r="AB65" s="32">
        <f t="shared" si="5"/>
        <v>189.47128835780316</v>
      </c>
      <c r="AC65">
        <f t="shared" si="24"/>
        <v>-5.2176384307233183</v>
      </c>
      <c r="AD65">
        <f t="shared" si="12"/>
        <v>37045.859951340281</v>
      </c>
      <c r="AE65">
        <f t="shared" si="13"/>
        <v>-3382.9366629723618</v>
      </c>
      <c r="AF65">
        <f t="shared" si="25"/>
        <v>12.153041447609215</v>
      </c>
      <c r="AG65">
        <f t="shared" si="14"/>
        <v>36366.302015486828</v>
      </c>
      <c r="AH65" s="69">
        <f t="shared" si="15"/>
        <v>7831.4799187891995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6DE-8B52-4F6B-B7A5-E7CCEDF6266F}">
  <dimension ref="A2:I32"/>
  <sheetViews>
    <sheetView topLeftCell="B1" workbookViewId="0">
      <selection activeCell="D8" sqref="D8"/>
    </sheetView>
  </sheetViews>
  <sheetFormatPr defaultRowHeight="14.5"/>
  <cols>
    <col min="1" max="1" width="44.1796875" customWidth="1"/>
    <col min="2" max="3" width="9" bestFit="1" customWidth="1"/>
    <col min="4" max="4" width="10.26953125" customWidth="1"/>
    <col min="7" max="7" width="12.08984375" customWidth="1"/>
  </cols>
  <sheetData>
    <row r="2" spans="1:9">
      <c r="A2" s="104" t="s">
        <v>216</v>
      </c>
    </row>
    <row r="3" spans="1:9">
      <c r="A3" s="104" t="s">
        <v>217</v>
      </c>
    </row>
    <row r="4" spans="1:9" ht="15" thickBot="1"/>
    <row r="5" spans="1:9" ht="16" thickBot="1">
      <c r="A5" s="105" t="s">
        <v>218</v>
      </c>
      <c r="B5" s="106" t="s">
        <v>89</v>
      </c>
      <c r="C5" s="106" t="s">
        <v>219</v>
      </c>
      <c r="D5" s="106" t="s">
        <v>220</v>
      </c>
    </row>
    <row r="6" spans="1:9" ht="16" thickBot="1">
      <c r="A6" s="107"/>
      <c r="B6" s="106" t="s">
        <v>221</v>
      </c>
      <c r="C6" s="106" t="s">
        <v>221</v>
      </c>
      <c r="D6" s="106" t="s">
        <v>222</v>
      </c>
      <c r="G6" s="21" t="s">
        <v>72</v>
      </c>
      <c r="H6" s="19">
        <v>0</v>
      </c>
      <c r="I6" s="19">
        <v>20000</v>
      </c>
    </row>
    <row r="7" spans="1:9" ht="16" thickBot="1">
      <c r="A7" s="107"/>
      <c r="B7" s="108" t="s">
        <v>4</v>
      </c>
      <c r="C7" s="108" t="s">
        <v>5</v>
      </c>
      <c r="D7" s="108" t="s">
        <v>6</v>
      </c>
      <c r="G7" s="115" t="s">
        <v>245</v>
      </c>
      <c r="H7">
        <f>T_max_SL</f>
        <v>202</v>
      </c>
      <c r="I7" cm="1">
        <f t="array" ref="I7">T_max_SL*Linterp(I6,atmos_h,atmos_dr)</f>
        <v>107.62604651169764</v>
      </c>
    </row>
    <row r="8" spans="1:9" ht="16" thickBot="1">
      <c r="A8" s="109" t="s">
        <v>223</v>
      </c>
      <c r="B8" s="118" cm="1">
        <f t="array" ref="B8">SQRT((H7/W)*(W/S)*H8/(3*Linterp(0,atmos_h,atmos_rho)*CD0))</f>
        <v>283.05413224136589</v>
      </c>
      <c r="C8" s="117" cm="1">
        <f t="array" ref="C8">SQRT((W/S)*H8/(3*Linterp(0,atmos_h,atmos_rho)*CD0)) * POWER(H7/W, 3/2) * (1 - H8/6 - 3/(2*H8*POWER(H7/W,2)*1/(4*CD0*K)))</f>
        <v>36.502227343917447</v>
      </c>
      <c r="D8" s="116">
        <f>sfc_SL*H7/3600</f>
        <v>7.2944444444444451E-2</v>
      </c>
      <c r="G8" s="115" t="s">
        <v>192</v>
      </c>
      <c r="H8">
        <f>1+SQRT(1 + 3/(POWER(H7/W,2)*(1/(4*CD0*K))))</f>
        <v>2.1381488503738399</v>
      </c>
      <c r="I8">
        <f>1+SQRT(1 + 3/(POWER(I7/W,2)*(1/(4*CD0*K))))</f>
        <v>2.4284700109042099</v>
      </c>
    </row>
    <row r="9" spans="1:9" ht="16" thickBot="1">
      <c r="A9" s="109" t="s">
        <v>224</v>
      </c>
      <c r="B9" s="118" cm="1">
        <f t="array" ref="B9">SQRT((I7/W)*(W/S)*I8/(3*Linterp(20000,atmos_h,atmos_rho)*CD0))</f>
        <v>301.65942842272062</v>
      </c>
      <c r="C9" s="117" cm="1">
        <f t="array" ref="C9">SQRT((W/S)*I8/(3*Linterp(20000,atmos_h,atmos_rho)*CD0)) * POWER(I7/W, 3/2) * (1 - I8/6 - 3/(2*I8*POWER(I7/W,2)*1/(4*CD0*K)))</f>
        <v>13.744835488953232</v>
      </c>
      <c r="D9" s="116" cm="1">
        <f t="array" ref="D9">sfc_SL*Linterp(20000,atmos_h,atmos_aspeed)/Linterp(0,atmos_h,atmos_aspeed)*I7/3600</f>
        <v>3.6094114795607285E-2</v>
      </c>
      <c r="G9" s="115"/>
    </row>
    <row r="10" spans="1:9" ht="16" thickBot="1">
      <c r="A10" s="109" t="s">
        <v>225</v>
      </c>
      <c r="B10" s="118">
        <f>150*6076.4/3600</f>
        <v>253.18333333333334</v>
      </c>
      <c r="C10" s="117">
        <f>(H7-H14)*B10/W</f>
        <v>35.717816046220989</v>
      </c>
      <c r="D10" s="116">
        <f>sfc_SL*H7/3600</f>
        <v>7.2944444444444451E-2</v>
      </c>
    </row>
    <row r="11" spans="1:9" ht="16" thickBot="1">
      <c r="A11" s="109" t="s">
        <v>226</v>
      </c>
      <c r="B11" s="118">
        <f>150*6076.4/3600</f>
        <v>253.18333333333334</v>
      </c>
      <c r="C11" s="117">
        <f>(I7-I14)*B10/W</f>
        <v>12.436501557118991</v>
      </c>
      <c r="D11" s="116" cm="1">
        <f t="array" ref="D11">sfc_SL*Linterp(20000,atmos_h,atmos_aspeed)/Linterp(0,atmos_h,atmos_aspeed)*I7/3600</f>
        <v>3.6094114795607285E-2</v>
      </c>
      <c r="G11" s="115" t="s">
        <v>249</v>
      </c>
      <c r="H11">
        <f>B10</f>
        <v>253.18333333333334</v>
      </c>
      <c r="I11">
        <f>B11</f>
        <v>253.18333333333334</v>
      </c>
    </row>
    <row r="12" spans="1:9" ht="16" thickBot="1">
      <c r="A12" s="166"/>
      <c r="B12" s="167"/>
      <c r="C12" s="167"/>
      <c r="D12" s="168"/>
      <c r="G12" s="115" t="s">
        <v>247</v>
      </c>
      <c r="H12" cm="1">
        <f t="array" ref="H12">1*W/(S*0.5*Linterp(H6,atmos_h,atmos_rho)*B10*B10)</f>
        <v>0.31253828321190491</v>
      </c>
      <c r="I12" cm="1">
        <f t="array" ref="I12">1*W/(S*0.5*Linterp(I6,atmos_h,atmos_rho)*B10*B10)</f>
        <v>0.58659344326972951</v>
      </c>
    </row>
    <row r="13" spans="1:9" ht="18" thickBot="1">
      <c r="A13" s="105" t="s">
        <v>227</v>
      </c>
      <c r="B13" s="106" t="s">
        <v>89</v>
      </c>
      <c r="C13" s="106" t="s">
        <v>228</v>
      </c>
      <c r="D13" s="114" t="s">
        <v>229</v>
      </c>
      <c r="G13" s="115" t="s">
        <v>125</v>
      </c>
      <c r="H13">
        <f>CD0+K*POWER(H12,2)</f>
        <v>2.6056171065328784E-2</v>
      </c>
      <c r="I13">
        <f>CD0+K*POWER(I12,2)</f>
        <v>4.133369579659632E-2</v>
      </c>
    </row>
    <row r="14" spans="1:9" ht="16" thickBot="1">
      <c r="A14" s="107"/>
      <c r="B14" s="106" t="s">
        <v>221</v>
      </c>
      <c r="C14" s="106" t="s">
        <v>221</v>
      </c>
      <c r="D14" s="106" t="s">
        <v>230</v>
      </c>
      <c r="G14" s="115" t="s">
        <v>248</v>
      </c>
      <c r="H14">
        <f>H13*W/H12</f>
        <v>75.032580705948689</v>
      </c>
      <c r="I14">
        <f>I13*W/I12</f>
        <v>63.41756227205407</v>
      </c>
    </row>
    <row r="15" spans="1:9" ht="16" thickBot="1">
      <c r="A15" s="107"/>
      <c r="B15" s="108" t="s">
        <v>4</v>
      </c>
      <c r="C15" s="108" t="s">
        <v>5</v>
      </c>
      <c r="D15" s="108" t="s">
        <v>5</v>
      </c>
    </row>
    <row r="16" spans="1:9" ht="16" thickBot="1">
      <c r="A16" s="109" t="s">
        <v>231</v>
      </c>
      <c r="B16" s="118" cm="1">
        <f t="array" ref="B16">SQRT(2/Linterp(20000, atmos_h, atmos_rho) * SQRT(K/CD0) * (W/S) * COS(RADIANS(D16)))</f>
        <v>256.98450902706281</v>
      </c>
      <c r="C16" s="117">
        <f>B16*SIN(RADIANS(D16))</f>
        <v>18.053998213713321</v>
      </c>
      <c r="D16" s="117">
        <f>DEGREES(ATAN( 1/SQRT(1/(4*CD0*K))))</f>
        <v>4.0285334654862854</v>
      </c>
    </row>
    <row r="17" spans="1:4" ht="16" thickBot="1">
      <c r="A17" s="109" t="s">
        <v>232</v>
      </c>
      <c r="B17" s="118" cm="1">
        <f t="array" ref="B17">SQRT(2/Linterp(0, atmos_h, atmos_rho) * SQRT(K/CD0) * (W/S) * COS(RADIANS(D17)))</f>
        <v>187.58147819833735</v>
      </c>
      <c r="C17" s="117">
        <f>B17*SIN(RADIANS(D17))</f>
        <v>13.178209399235996</v>
      </c>
      <c r="D17" s="117">
        <f>DEGREES(ATAN( 1/SQRT(1/(4*CD0*K))))</f>
        <v>4.0285334654862854</v>
      </c>
    </row>
    <row r="18" spans="1:4" ht="16" thickBot="1">
      <c r="A18" s="109" t="s">
        <v>226</v>
      </c>
      <c r="B18" s="118">
        <f>150*6076.4/3600</f>
        <v>253.18333333333334</v>
      </c>
      <c r="C18" s="117">
        <f>I14*B19/W</f>
        <v>17.840299786569876</v>
      </c>
      <c r="D18" s="117">
        <f>DEGREES(ASIN(C18/B18))</f>
        <v>4.0406358620327971</v>
      </c>
    </row>
    <row r="19" spans="1:4" ht="16" thickBot="1">
      <c r="A19" s="109" t="s">
        <v>225</v>
      </c>
      <c r="B19" s="118">
        <f>150*6076.4/3600</f>
        <v>253.18333333333334</v>
      </c>
      <c r="C19" s="117">
        <f>H14*B18/W</f>
        <v>21.107776546371603</v>
      </c>
      <c r="D19" s="117">
        <f>DEGREES(ASIN(C19/B19))</f>
        <v>4.7822732421671539</v>
      </c>
    </row>
    <row r="20" spans="1:4" ht="15.5">
      <c r="A20" s="111"/>
      <c r="B20" s="111"/>
      <c r="C20" s="111"/>
      <c r="D20" s="111"/>
    </row>
    <row r="21" spans="1:4" ht="16" thickBot="1">
      <c r="A21" s="111"/>
      <c r="B21" s="111"/>
      <c r="C21" s="111"/>
      <c r="D21" s="111"/>
    </row>
    <row r="22" spans="1:4" ht="16" thickBot="1">
      <c r="A22" s="112" t="s">
        <v>233</v>
      </c>
      <c r="B22" s="106" t="s">
        <v>234</v>
      </c>
      <c r="C22" s="106" t="s">
        <v>235</v>
      </c>
      <c r="D22" s="106" t="s">
        <v>236</v>
      </c>
    </row>
    <row r="23" spans="1:4" ht="16" thickBot="1">
      <c r="A23" s="107"/>
      <c r="B23" s="106" t="s">
        <v>237</v>
      </c>
      <c r="C23" s="106" t="s">
        <v>238</v>
      </c>
      <c r="D23" s="106" t="s">
        <v>239</v>
      </c>
    </row>
    <row r="24" spans="1:4" ht="16" thickBot="1">
      <c r="A24" s="107"/>
      <c r="B24" s="108" t="s">
        <v>4</v>
      </c>
      <c r="C24" s="108" t="s">
        <v>4</v>
      </c>
      <c r="D24" s="108" t="s">
        <v>4</v>
      </c>
    </row>
    <row r="25" spans="1:4" ht="16" thickBot="1">
      <c r="A25" s="113" t="s">
        <v>240</v>
      </c>
      <c r="B25" s="118">
        <f>20000/((C8+C9)/2 )</f>
        <v>796.06643144587451</v>
      </c>
      <c r="C25" s="118">
        <f>B25*(D8+D9)/2</f>
        <v>43.400968372113788</v>
      </c>
      <c r="D25" s="118">
        <f>B25*(B8+B9)/2 / 6076.4</f>
        <v>38.301530318599028</v>
      </c>
    </row>
    <row r="26" spans="1:4" ht="16" thickBot="1">
      <c r="A26" s="113" t="s">
        <v>241</v>
      </c>
      <c r="B26" s="118">
        <f>20000/((C10+C11)/2 )</f>
        <v>830.66279392620038</v>
      </c>
      <c r="C26" s="118">
        <f>B26*(D10+D11)/2</f>
        <v>45.287137132014443</v>
      </c>
      <c r="D26" s="118">
        <f>(B10*B26)/6076.4</f>
        <v>34.610949746925016</v>
      </c>
    </row>
    <row r="27" spans="1:4" ht="16" thickBot="1">
      <c r="A27" s="166"/>
      <c r="B27" s="167"/>
      <c r="C27" s="167"/>
      <c r="D27" s="168"/>
    </row>
    <row r="28" spans="1:4" ht="16" thickBot="1">
      <c r="A28" s="112" t="s">
        <v>242</v>
      </c>
      <c r="B28" s="106" t="s">
        <v>234</v>
      </c>
      <c r="C28" s="106" t="s">
        <v>235</v>
      </c>
      <c r="D28" s="106" t="s">
        <v>236</v>
      </c>
    </row>
    <row r="29" spans="1:4" ht="16" thickBot="1">
      <c r="A29" s="107"/>
      <c r="B29" s="106" t="s">
        <v>237</v>
      </c>
      <c r="C29" s="106" t="s">
        <v>238</v>
      </c>
      <c r="D29" s="106" t="s">
        <v>239</v>
      </c>
    </row>
    <row r="30" spans="1:4" ht="16" thickBot="1">
      <c r="A30" s="107"/>
      <c r="B30" s="108" t="s">
        <v>4</v>
      </c>
      <c r="C30" s="108" t="s">
        <v>4</v>
      </c>
      <c r="D30" s="108" t="s">
        <v>4</v>
      </c>
    </row>
    <row r="31" spans="1:4" ht="16" thickBot="1">
      <c r="A31" s="113" t="s">
        <v>243</v>
      </c>
      <c r="B31" s="118">
        <f>20000/((C16+C17)/2)</f>
        <v>1280.7291913433437</v>
      </c>
      <c r="C31" s="110">
        <v>0</v>
      </c>
      <c r="D31" s="118">
        <f>20000/TAN(RADIANS(D16))/6076.4</f>
        <v>46.735059759649189</v>
      </c>
    </row>
    <row r="32" spans="1:4" ht="16" thickBot="1">
      <c r="A32" s="113" t="s">
        <v>244</v>
      </c>
      <c r="B32" s="118">
        <f>20000/((C18+C19)/2)</f>
        <v>1027.0083600038759</v>
      </c>
      <c r="C32" s="110">
        <v>0</v>
      </c>
      <c r="D32" s="118">
        <f>20000/TAN(RADIANS((D18+D19)/2))/6076.4</f>
        <v>42.664345594387747</v>
      </c>
    </row>
  </sheetData>
  <mergeCells count="2">
    <mergeCell ref="A12:D12"/>
    <mergeCell ref="A27:D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F6A4-249E-46F2-9F11-FCA18199343E}">
  <dimension ref="A2:K32"/>
  <sheetViews>
    <sheetView topLeftCell="A6" workbookViewId="0">
      <selection activeCell="I10" sqref="I10"/>
    </sheetView>
  </sheetViews>
  <sheetFormatPr defaultRowHeight="14.5"/>
  <cols>
    <col min="1" max="1" width="47" customWidth="1"/>
    <col min="11" max="11" width="15.453125" customWidth="1"/>
  </cols>
  <sheetData>
    <row r="2" spans="1:11">
      <c r="A2" s="57" t="s">
        <v>250</v>
      </c>
    </row>
    <row r="3" spans="1:11">
      <c r="A3" s="57" t="s">
        <v>251</v>
      </c>
    </row>
    <row r="4" spans="1:11" ht="15" thickBot="1"/>
    <row r="5" spans="1:11" ht="16" thickBot="1">
      <c r="A5" s="105" t="s">
        <v>252</v>
      </c>
      <c r="B5" s="106" t="s">
        <v>89</v>
      </c>
      <c r="C5" s="106" t="s">
        <v>253</v>
      </c>
      <c r="D5" s="106" t="s">
        <v>220</v>
      </c>
      <c r="K5" s="13"/>
    </row>
    <row r="6" spans="1:11" ht="18" thickBot="1">
      <c r="A6" s="107"/>
      <c r="B6" s="106" t="s">
        <v>221</v>
      </c>
      <c r="C6" s="106" t="s">
        <v>254</v>
      </c>
      <c r="D6" s="106" t="s">
        <v>222</v>
      </c>
    </row>
    <row r="7" spans="1:11" ht="16" thickBot="1">
      <c r="A7" s="107"/>
      <c r="B7" s="108" t="s">
        <v>4</v>
      </c>
      <c r="C7" s="108" t="s">
        <v>5</v>
      </c>
      <c r="D7" s="108" t="s">
        <v>6</v>
      </c>
      <c r="E7" s="115" t="s">
        <v>247</v>
      </c>
      <c r="F7" s="115" t="s">
        <v>125</v>
      </c>
      <c r="G7" s="115" t="s">
        <v>248</v>
      </c>
      <c r="H7" s="115" t="s">
        <v>72</v>
      </c>
      <c r="I7" s="115" t="s">
        <v>245</v>
      </c>
      <c r="K7" s="119"/>
    </row>
    <row r="8" spans="1:11" ht="16" thickBot="1">
      <c r="A8" s="109" t="s">
        <v>255</v>
      </c>
      <c r="B8" s="118" cm="1">
        <f t="array" ref="B8">Linterp(0,atmos_h,atmos_aspeed)*0.15</f>
        <v>167.4675</v>
      </c>
      <c r="C8" s="117">
        <f>(I8-G8)*g/W</f>
        <v>4.8955062188850267</v>
      </c>
      <c r="D8" s="116" cm="1">
        <f t="array" ref="D8">I8*sfc_SL*Linterp(H8,atmos_h,atmos_aspeed)/Linterp(0,atmos_h,atmos_aspeed)/3600</f>
        <v>7.2944444444444451E-2</v>
      </c>
      <c r="E8" cm="1">
        <f t="array" ref="E8">1*W/(S*0.5*Linterp(H8,atmos_h,atmos_rho)*B8*B8)</f>
        <v>0.7143521805102212</v>
      </c>
      <c r="F8">
        <f>CD0+K*POWER(E8,2)</f>
        <v>5.1638540343581868E-2</v>
      </c>
      <c r="G8">
        <f>W*F8/E8</f>
        <v>65.058506962251371</v>
      </c>
      <c r="H8">
        <v>0</v>
      </c>
      <c r="I8" cm="1">
        <f t="array" ref="I8">T_max_SL*Linterp(H8,atmos_h,atmos_dr)</f>
        <v>202</v>
      </c>
      <c r="K8" s="119"/>
    </row>
    <row r="9" spans="1:11" ht="16" thickBot="1">
      <c r="A9" s="109" t="s">
        <v>256</v>
      </c>
      <c r="B9" s="118" cm="1">
        <f t="array" ref="B9">Linterp(0,atmos_h,atmos_aspeed)*0.35</f>
        <v>390.75749999999999</v>
      </c>
      <c r="C9" s="117">
        <f>(I9-G9)*g/W</f>
        <v>2.0552531246056813</v>
      </c>
      <c r="D9" s="116" cm="1">
        <f t="array" ref="D9">I9*sfc_SL*Linterp(H9,atmos_h,atmos_aspeed)/Linterp(0,atmos_h,atmos_aspeed)/3600</f>
        <v>7.2944444444444451E-2</v>
      </c>
      <c r="E9" cm="1">
        <f t="array" ref="E9">1*W/(S*0.5*Linterp(H9,atmos_h,atmos_rho)*B9*B9)</f>
        <v>0.13120754335902024</v>
      </c>
      <c r="F9">
        <f>CD0+K*POWER(E9,2)</f>
        <v>2.1067356004927169E-2</v>
      </c>
      <c r="G9">
        <f>W*F9/E9</f>
        <v>144.5086152749079</v>
      </c>
      <c r="H9">
        <v>0</v>
      </c>
      <c r="I9" cm="1">
        <f t="array" ref="I9">T_max_SL*Linterp(H9,atmos_h,atmos_dr)</f>
        <v>202</v>
      </c>
    </row>
    <row r="10" spans="1:11" ht="16" thickBot="1">
      <c r="A10" s="109" t="s">
        <v>257</v>
      </c>
      <c r="B10" s="118" cm="1">
        <f t="array" ref="B10">Linterp(20000,atmos_h,atmos_aspeed)*0.2</f>
        <v>207.37071736345379</v>
      </c>
      <c r="C10" s="117">
        <f>(I10-G10)*g/W</f>
        <v>1.3673529892872109</v>
      </c>
      <c r="D10" s="116" cm="1">
        <f t="array" ref="D10">I10*sfc_SL*Linterp(H10,atmos_h,atmos_aspeed)/Linterp(0,atmos_h,atmos_aspeed)/3600</f>
        <v>3.6094114795607278E-2</v>
      </c>
      <c r="E10" cm="1">
        <f t="array" ref="E10">1*W/(S*0.5*Linterp(H10,atmos_h,atmos_rho)*B10*B10)</f>
        <v>0.87440487635532504</v>
      </c>
      <c r="F10">
        <f>CD0+K*POWER(E10,2)</f>
        <v>6.7404201043226211E-2</v>
      </c>
      <c r="G10">
        <f>W*F10/E10</f>
        <v>69.377221673054947</v>
      </c>
      <c r="H10">
        <v>20000</v>
      </c>
      <c r="I10" cm="1">
        <f t="array" ref="I10">T_max_SL*Linterp(H10,atmos_h,atmos_dr)</f>
        <v>107.62604651169764</v>
      </c>
    </row>
    <row r="11" spans="1:11" ht="16" thickBot="1">
      <c r="A11" s="109" t="s">
        <v>258</v>
      </c>
      <c r="B11" s="118" cm="1">
        <f t="array" ref="B11">Linterp(20000,atmos_h,atmos_aspeed)*0.4</f>
        <v>414.74143472690758</v>
      </c>
      <c r="C11" s="117">
        <f>(I11-G11)*g/W</f>
        <v>0.46782355161421557</v>
      </c>
      <c r="D11" s="116" cm="1">
        <f t="array" ref="D11">I11*sfc_SL*Linterp(H11,atmos_h,atmos_aspeed)/Linterp(0,atmos_h,atmos_aspeed)/3600</f>
        <v>3.6094114795607278E-2</v>
      </c>
      <c r="E11" cm="1">
        <f t="array" ref="E11">1*W/(S*0.5*Linterp(H11,atmos_h,atmos_rho)*B11*B11)</f>
        <v>0.21860121908883126</v>
      </c>
      <c r="F11">
        <f>CD0+K*POWER(E11,2)</f>
        <v>2.296276256520164E-2</v>
      </c>
      <c r="G11">
        <f>W*F11/E11</f>
        <v>94.539666314868086</v>
      </c>
      <c r="H11">
        <v>20000</v>
      </c>
      <c r="I11" cm="1">
        <f t="array" ref="I11">T_max_SL*Linterp(H11,atmos_h,atmos_dr)</f>
        <v>107.62604651169764</v>
      </c>
    </row>
    <row r="12" spans="1:11" ht="16" thickBot="1">
      <c r="A12" s="166"/>
      <c r="B12" s="167"/>
      <c r="C12" s="167"/>
      <c r="D12" s="168"/>
    </row>
    <row r="13" spans="1:11" ht="16" thickBot="1">
      <c r="A13" s="105" t="s">
        <v>259</v>
      </c>
      <c r="B13" s="106" t="s">
        <v>89</v>
      </c>
      <c r="C13" s="106" t="s">
        <v>253</v>
      </c>
      <c r="D13" s="106" t="s">
        <v>220</v>
      </c>
    </row>
    <row r="14" spans="1:11" ht="18" thickBot="1">
      <c r="A14" s="107"/>
      <c r="B14" s="106" t="s">
        <v>221</v>
      </c>
      <c r="C14" s="106" t="s">
        <v>254</v>
      </c>
      <c r="D14" s="106" t="s">
        <v>222</v>
      </c>
    </row>
    <row r="15" spans="1:11" ht="16" thickBot="1">
      <c r="A15" s="107"/>
      <c r="B15" s="108" t="s">
        <v>4</v>
      </c>
      <c r="C15" s="108" t="s">
        <v>5</v>
      </c>
      <c r="D15" s="108" t="s">
        <v>6</v>
      </c>
      <c r="G15" s="119"/>
    </row>
    <row r="16" spans="1:11" ht="16" thickBot="1">
      <c r="A16" s="109" t="s">
        <v>256</v>
      </c>
      <c r="B16" s="118" cm="1">
        <f t="array" ref="B16">Linterp(0,atmos_h,atmos_aspeed)*0.35</f>
        <v>390.75749999999999</v>
      </c>
      <c r="C16" s="117">
        <f>(G16)*g/W</f>
        <v>5.1660224309498739</v>
      </c>
      <c r="D16" s="116" cm="1">
        <f t="array" ref="D16">I16*sfc_SL*Linterp(H16,atmos_h,atmos_aspeed)/Linterp(0,atmos_h,atmos_aspeed)/3600</f>
        <v>0</v>
      </c>
      <c r="E16" cm="1">
        <f t="array" ref="E16">1*W/(S*0.5*Linterp(H16,atmos_h,atmos_rho)*B16*B16)</f>
        <v>0.13120754335902024</v>
      </c>
      <c r="F16">
        <f>CD0+K*POWER(E16,2)</f>
        <v>2.1067356004927169E-2</v>
      </c>
      <c r="G16">
        <f>W*F16/E16</f>
        <v>144.5086152749079</v>
      </c>
      <c r="H16">
        <v>0</v>
      </c>
    </row>
    <row r="17" spans="1:8" ht="16" thickBot="1">
      <c r="A17" s="109" t="s">
        <v>255</v>
      </c>
      <c r="B17" s="118" cm="1">
        <f t="array" ref="B17">Linterp(0,atmos_h,atmos_aspeed)*0.15</f>
        <v>167.4675</v>
      </c>
      <c r="C17" s="117">
        <f>(G17)*g/W</f>
        <v>2.3257693366705285</v>
      </c>
      <c r="D17" s="116" cm="1">
        <f t="array" ref="D17">I17*sfc_SL*Linterp(H17,atmos_h,atmos_aspeed)/Linterp(0,atmos_h,atmos_aspeed)/3600</f>
        <v>0</v>
      </c>
      <c r="E17" cm="1">
        <f t="array" ref="E17">1*W/(S*0.5*Linterp(H17,atmos_h,atmos_rho)*B17*B17)</f>
        <v>0.7143521805102212</v>
      </c>
      <c r="F17">
        <f>CD0+K*POWER(E17,2)</f>
        <v>5.1638540343581868E-2</v>
      </c>
      <c r="G17">
        <f>W*F17/E17</f>
        <v>65.058506962251371</v>
      </c>
      <c r="H17">
        <v>0</v>
      </c>
    </row>
    <row r="18" spans="1:8" ht="16" thickBot="1">
      <c r="A18" s="109" t="s">
        <v>258</v>
      </c>
      <c r="B18" s="118" cm="1">
        <f t="array" ref="B18">Linterp(20000,atmos_h,atmos_aspeed)*0.4</f>
        <v>414.74143472690758</v>
      </c>
      <c r="C18" s="117">
        <f>(G18)*g/W</f>
        <v>3.3796880266828508</v>
      </c>
      <c r="D18" s="116" cm="1">
        <f t="array" ref="D18">I18*sfc_SL*Linterp(H18,atmos_h,atmos_aspeed)/Linterp(0,atmos_h,atmos_aspeed)/3600</f>
        <v>0</v>
      </c>
      <c r="E18" cm="1">
        <f t="array" ref="E18">1*W/(S*0.5*Linterp(H18,atmos_h,atmos_rho)*B18*B18)</f>
        <v>0.21860121908883126</v>
      </c>
      <c r="F18">
        <f>CD0+K*POWER(E18,2)</f>
        <v>2.296276256520164E-2</v>
      </c>
      <c r="G18">
        <f>W*F18/E18</f>
        <v>94.539666314868086</v>
      </c>
      <c r="H18">
        <v>20000</v>
      </c>
    </row>
    <row r="19" spans="1:8" ht="16" thickBot="1">
      <c r="A19" s="109" t="s">
        <v>257</v>
      </c>
      <c r="B19" s="118" cm="1">
        <f t="array" ref="B19">Linterp(20000,atmos_h,atmos_aspeed)*0.2</f>
        <v>207.37071736345379</v>
      </c>
      <c r="C19" s="117">
        <f>(G19)*g/W</f>
        <v>2.4801585890098554</v>
      </c>
      <c r="D19" s="116" cm="1">
        <f t="array" ref="D19">I19*sfc_SL*Linterp(H19,atmos_h,atmos_aspeed)/Linterp(0,atmos_h,atmos_aspeed)/3600</f>
        <v>0</v>
      </c>
      <c r="E19" cm="1">
        <f t="array" ref="E19">1*W/(S*0.5*Linterp(H19,atmos_h,atmos_rho)*B19*B19)</f>
        <v>0.87440487635532504</v>
      </c>
      <c r="F19">
        <f>CD0+K*POWER(E19,2)</f>
        <v>6.7404201043226211E-2</v>
      </c>
      <c r="G19">
        <f>W*F19/E19</f>
        <v>69.377221673054947</v>
      </c>
      <c r="H19">
        <v>20000</v>
      </c>
    </row>
    <row r="20" spans="1:8" ht="15.5">
      <c r="A20" s="111"/>
      <c r="B20" s="111"/>
      <c r="C20" s="111"/>
      <c r="D20" s="111"/>
    </row>
    <row r="21" spans="1:8" ht="16" thickBot="1">
      <c r="A21" s="111"/>
      <c r="B21" s="111"/>
      <c r="C21" s="111"/>
      <c r="D21" s="111"/>
    </row>
    <row r="22" spans="1:8" ht="16" thickBot="1">
      <c r="A22" s="112" t="s">
        <v>260</v>
      </c>
      <c r="B22" s="106" t="s">
        <v>234</v>
      </c>
      <c r="C22" s="106" t="s">
        <v>235</v>
      </c>
      <c r="D22" s="106" t="s">
        <v>236</v>
      </c>
    </row>
    <row r="23" spans="1:8" ht="16" thickBot="1">
      <c r="A23" s="107"/>
      <c r="B23" s="106" t="s">
        <v>237</v>
      </c>
      <c r="C23" s="106" t="s">
        <v>238</v>
      </c>
      <c r="D23" s="106" t="s">
        <v>239</v>
      </c>
    </row>
    <row r="24" spans="1:8" ht="16" thickBot="1">
      <c r="A24" s="107"/>
      <c r="B24" s="108" t="s">
        <v>4</v>
      </c>
      <c r="C24" s="108" t="s">
        <v>4</v>
      </c>
      <c r="D24" s="108" t="s">
        <v>4</v>
      </c>
    </row>
    <row r="25" spans="1:8" ht="16" thickBot="1">
      <c r="A25" s="113" t="s">
        <v>261</v>
      </c>
      <c r="B25" s="118">
        <f>(B9-B8)/((C8+C9)/2)</f>
        <v>64.249095376639119</v>
      </c>
      <c r="C25" s="118">
        <f>D8*B25</f>
        <v>4.686614568307065</v>
      </c>
      <c r="D25" s="118">
        <f>B25*(B8+B9)/2/6076.4</f>
        <v>2.9512088791574267</v>
      </c>
    </row>
    <row r="26" spans="1:8" ht="16" thickBot="1">
      <c r="A26" s="113" t="s">
        <v>262</v>
      </c>
      <c r="B26" s="118">
        <f>(B11-B10)/((C10+C11)/2)</f>
        <v>225.99538817294894</v>
      </c>
      <c r="C26" s="118">
        <f>B26*D10</f>
        <v>8.1571034839922465</v>
      </c>
      <c r="D26" s="118">
        <f>B26*(B10+B11)/2/6076.4</f>
        <v>11.568895834603538</v>
      </c>
    </row>
    <row r="27" spans="1:8" ht="16" thickBot="1">
      <c r="A27" s="166"/>
      <c r="B27" s="167"/>
      <c r="C27" s="167"/>
      <c r="D27" s="168"/>
    </row>
    <row r="28" spans="1:8" ht="16" thickBot="1">
      <c r="A28" s="112" t="s">
        <v>263</v>
      </c>
      <c r="B28" s="106" t="s">
        <v>234</v>
      </c>
      <c r="C28" s="106" t="s">
        <v>235</v>
      </c>
      <c r="D28" s="106" t="s">
        <v>236</v>
      </c>
    </row>
    <row r="29" spans="1:8" ht="16" thickBot="1">
      <c r="A29" s="107"/>
      <c r="B29" s="106" t="s">
        <v>237</v>
      </c>
      <c r="C29" s="106" t="s">
        <v>238</v>
      </c>
      <c r="D29" s="106" t="s">
        <v>239</v>
      </c>
    </row>
    <row r="30" spans="1:8" ht="16" thickBot="1">
      <c r="A30" s="107"/>
      <c r="B30" s="108" t="s">
        <v>4</v>
      </c>
      <c r="C30" s="108" t="s">
        <v>4</v>
      </c>
      <c r="D30" s="108" t="s">
        <v>4</v>
      </c>
    </row>
    <row r="31" spans="1:8" ht="16" thickBot="1">
      <c r="A31" s="113" t="s">
        <v>264</v>
      </c>
      <c r="B31" s="118">
        <f>(B16-B17)/((C16+C17)/2)</f>
        <v>59.60923819721247</v>
      </c>
      <c r="C31" s="118">
        <v>0</v>
      </c>
      <c r="D31" s="118">
        <f>B31*((B16+B17)/2)/6076.4</f>
        <v>2.7380823343294498</v>
      </c>
    </row>
    <row r="32" spans="1:8" ht="16" thickBot="1">
      <c r="A32" s="113" t="s">
        <v>265</v>
      </c>
      <c r="B32" s="118">
        <f>(B18-B19)/((C18+C19)/2)</f>
        <v>70.776841430666011</v>
      </c>
      <c r="C32" s="118">
        <v>0</v>
      </c>
      <c r="D32" s="118">
        <f>B32*(B18+B19)/2/6076.4</f>
        <v>3.623126616137013</v>
      </c>
    </row>
  </sheetData>
  <mergeCells count="2">
    <mergeCell ref="A12:D12"/>
    <mergeCell ref="A27:D2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B976-8F93-4DE3-92F1-F5691BBDB784}">
  <dimension ref="A3:J34"/>
  <sheetViews>
    <sheetView topLeftCell="A9" workbookViewId="0">
      <selection activeCell="H29" sqref="H29"/>
    </sheetView>
  </sheetViews>
  <sheetFormatPr defaultRowHeight="14.5"/>
  <cols>
    <col min="1" max="1" width="45.1796875" customWidth="1"/>
  </cols>
  <sheetData>
    <row r="3" spans="1:9">
      <c r="A3" s="84" t="s">
        <v>266</v>
      </c>
    </row>
    <row r="4" spans="1:9">
      <c r="A4" s="84" t="s">
        <v>267</v>
      </c>
    </row>
    <row r="5" spans="1:9" ht="15" thickBot="1"/>
    <row r="6" spans="1:9" ht="16" thickBot="1">
      <c r="A6" s="105" t="s">
        <v>268</v>
      </c>
      <c r="B6" s="106" t="s">
        <v>99</v>
      </c>
      <c r="C6" s="106" t="s">
        <v>100</v>
      </c>
      <c r="D6" s="106" t="s">
        <v>101</v>
      </c>
      <c r="E6" s="106" t="s">
        <v>102</v>
      </c>
      <c r="G6">
        <v>0</v>
      </c>
      <c r="H6">
        <v>10000</v>
      </c>
      <c r="I6" t="s">
        <v>59</v>
      </c>
    </row>
    <row r="7" spans="1:9" ht="16" thickBot="1">
      <c r="A7" s="55" t="s">
        <v>269</v>
      </c>
      <c r="B7" s="120" t="s">
        <v>60</v>
      </c>
      <c r="C7" s="121" t="s">
        <v>5</v>
      </c>
      <c r="D7" s="132">
        <f>LD_max*G7/W</f>
        <v>3.1868969588307525</v>
      </c>
      <c r="E7" s="132">
        <f>LD_max*H7/W</f>
        <v>2.3534362900323398</v>
      </c>
      <c r="F7" t="s">
        <v>286</v>
      </c>
      <c r="G7" cm="1">
        <f t="array" ref="G7">T_max_SL*Linterp(G6,atmos_h,atmos_dr)</f>
        <v>202</v>
      </c>
      <c r="H7" cm="1">
        <f t="array" ref="H7">T_max_SL*Linterp(H6,atmos_h,atmos_dr)</f>
        <v>149.17147831505383</v>
      </c>
    </row>
    <row r="8" spans="1:9" ht="16" thickBot="1">
      <c r="A8" s="55" t="s">
        <v>270</v>
      </c>
      <c r="B8" s="120" t="s">
        <v>106</v>
      </c>
      <c r="C8" s="121" t="s">
        <v>4</v>
      </c>
      <c r="D8" s="130" cm="1">
        <f t="array" ref="D8">SQRT((2/Linterp(G6,atmos_h,atmos_rho))*SQRT(K/CD0) *D7*W/S)</f>
        <v>335.28271052373077</v>
      </c>
      <c r="E8" s="130" cm="1">
        <f t="array" ref="E8">SQRT((2/Linterp(H6,atmos_h,atmos_rho))*SQRT(K/CD0) *E7*W/S)</f>
        <v>335.28271052373077</v>
      </c>
    </row>
    <row r="9" spans="1:9" ht="16" thickBot="1">
      <c r="A9" s="55" t="s">
        <v>107</v>
      </c>
      <c r="B9" s="122" t="s">
        <v>108</v>
      </c>
      <c r="C9" s="123" t="s">
        <v>6</v>
      </c>
      <c r="D9" s="133" cm="1">
        <f t="array" ref="D9">D8/Linterp(G6,atmos_h,atmos_aspeed)</f>
        <v>0.30031144298780127</v>
      </c>
      <c r="E9" s="133" cm="1">
        <f t="array" ref="E9">E8/Linterp(H6,atmos_h,atmos_aspeed)</f>
        <v>0.3111998536902712</v>
      </c>
    </row>
    <row r="10" spans="1:9" ht="16" thickBot="1">
      <c r="A10" s="55" t="s">
        <v>271</v>
      </c>
      <c r="B10" s="120" t="s">
        <v>199</v>
      </c>
      <c r="C10" s="121" t="s">
        <v>4</v>
      </c>
      <c r="D10" s="130">
        <f>DEGREES(ACOS(1/D7))</f>
        <v>71.71252782009573</v>
      </c>
      <c r="E10" s="130">
        <f>DEGREES(ACOS(1/E7))</f>
        <v>64.85499588482773</v>
      </c>
    </row>
    <row r="11" spans="1:9" ht="16" thickBot="1">
      <c r="A11" s="55" t="s">
        <v>272</v>
      </c>
      <c r="B11" s="120" t="s">
        <v>273</v>
      </c>
      <c r="C11" s="121" t="s">
        <v>5</v>
      </c>
      <c r="D11" s="132">
        <f>DEGREES(g*SQRT(D7*D7-1)/D8)</f>
        <v>16.637069384815945</v>
      </c>
      <c r="E11" s="132">
        <f>DEGREES(g*SQRT(E7*E7-1)/E8)</f>
        <v>11.713332447257013</v>
      </c>
    </row>
    <row r="12" spans="1:9" ht="16" thickBot="1">
      <c r="A12" s="55" t="s">
        <v>274</v>
      </c>
      <c r="B12" s="122" t="s">
        <v>59</v>
      </c>
      <c r="C12" s="123" t="s">
        <v>3</v>
      </c>
      <c r="D12" s="131">
        <f>POWER(D8,2)/(g*SQRT(D7*D7-1))</f>
        <v>1154.6675566700962</v>
      </c>
      <c r="E12" s="131">
        <f>POWER(E8,2)/(g*SQRT(E7*E7-1))</f>
        <v>1640.0357748929839</v>
      </c>
    </row>
    <row r="13" spans="1:9" ht="16" thickBot="1">
      <c r="A13" s="169"/>
      <c r="B13" s="170"/>
      <c r="C13" s="170"/>
      <c r="D13" s="170"/>
      <c r="E13" s="171"/>
    </row>
    <row r="14" spans="1:9" ht="16" thickBot="1">
      <c r="A14" s="105" t="s">
        <v>275</v>
      </c>
      <c r="B14" s="106" t="s">
        <v>99</v>
      </c>
      <c r="C14" s="106"/>
      <c r="D14" s="106" t="s">
        <v>101</v>
      </c>
      <c r="E14" s="106" t="s">
        <v>102</v>
      </c>
    </row>
    <row r="15" spans="1:9" ht="16" thickBot="1">
      <c r="A15" s="55" t="s">
        <v>276</v>
      </c>
      <c r="B15" s="120" t="s">
        <v>60</v>
      </c>
      <c r="C15" s="121" t="s">
        <v>5</v>
      </c>
      <c r="D15" s="132">
        <f>max_n</f>
        <v>6</v>
      </c>
      <c r="E15" s="132">
        <f>max_n</f>
        <v>6</v>
      </c>
    </row>
    <row r="16" spans="1:9" ht="16" thickBot="1">
      <c r="A16" s="55" t="s">
        <v>277</v>
      </c>
      <c r="B16" s="120" t="s">
        <v>106</v>
      </c>
      <c r="C16" s="121" t="s">
        <v>4</v>
      </c>
      <c r="D16" s="130" cm="1">
        <f t="array" ref="D16">SQRT(2*max_n*(W/S)/(Linterp(G6,atmos_h,atmos_rho)*CL_max))</f>
        <v>298.39769592206284</v>
      </c>
      <c r="E16" s="130" cm="1">
        <f t="array" ref="E16">SQRT(2*max_n*(W/S)/(Linterp(H6,atmos_h,atmos_rho)*CL_max))</f>
        <v>347.23880526809461</v>
      </c>
    </row>
    <row r="17" spans="1:10" ht="16" thickBot="1">
      <c r="A17" s="55" t="s">
        <v>107</v>
      </c>
      <c r="B17" s="122" t="s">
        <v>108</v>
      </c>
      <c r="C17" s="123" t="s">
        <v>6</v>
      </c>
      <c r="D17" s="133" cm="1">
        <f t="array" ref="D17">D16/Linterp(G6,atmos_h,atmos_aspeed)</f>
        <v>0.26727367631516219</v>
      </c>
      <c r="E17" s="133" cm="1">
        <f t="array" ref="E17">E16/Linterp(H6,atmos_h,atmos_aspeed)</f>
        <v>0.32229715998841302</v>
      </c>
    </row>
    <row r="18" spans="1:10" ht="16" thickBot="1">
      <c r="A18" s="55" t="s">
        <v>271</v>
      </c>
      <c r="B18" s="120" t="s">
        <v>199</v>
      </c>
      <c r="C18" s="121" t="s">
        <v>4</v>
      </c>
      <c r="D18" s="130">
        <f>DEGREES(ACOS(1/D15))</f>
        <v>80.405931773139542</v>
      </c>
      <c r="E18" s="130">
        <f>DEGREES(ACOS(1/E15))</f>
        <v>80.405931773139542</v>
      </c>
    </row>
    <row r="19" spans="1:10" ht="16" thickBot="1">
      <c r="A19" s="55" t="s">
        <v>278</v>
      </c>
      <c r="B19" s="120" t="s">
        <v>273</v>
      </c>
      <c r="C19" s="121" t="s">
        <v>5</v>
      </c>
      <c r="D19" s="132">
        <f>DEGREES(g*SQRT(D15*D15-1)/D16)</f>
        <v>36.548221363071697</v>
      </c>
      <c r="E19" s="132">
        <f>DEGREES(g*SQRT(E15*E15-1)/E16)</f>
        <v>31.407506532485403</v>
      </c>
    </row>
    <row r="20" spans="1:10" ht="16" thickBot="1">
      <c r="A20" s="55" t="s">
        <v>279</v>
      </c>
      <c r="B20" s="122" t="s">
        <v>59</v>
      </c>
      <c r="C20" s="123" t="s">
        <v>3</v>
      </c>
      <c r="D20" s="131">
        <f>POWER(D16,2)/(g*SQRT(D15*D15-1))</f>
        <v>467.7909883198044</v>
      </c>
      <c r="E20" s="131">
        <f>POWER(E16,2)/(g*SQRT(E15*E15-1))</f>
        <v>633.45741899149994</v>
      </c>
    </row>
    <row r="24" spans="1:10" ht="15" thickBot="1"/>
    <row r="25" spans="1:10" ht="16" thickBot="1">
      <c r="B25" s="172" t="s">
        <v>280</v>
      </c>
      <c r="C25" s="172"/>
      <c r="D25" s="172"/>
      <c r="E25" s="172"/>
    </row>
    <row r="26" spans="1:10" ht="18" thickBot="1">
      <c r="B26" s="124" t="s">
        <v>87</v>
      </c>
      <c r="C26" s="106" t="s">
        <v>281</v>
      </c>
      <c r="D26" s="106" t="s">
        <v>282</v>
      </c>
      <c r="E26" s="106" t="s">
        <v>283</v>
      </c>
    </row>
    <row r="27" spans="1:10" ht="16" thickBot="1">
      <c r="B27" s="124" t="s">
        <v>284</v>
      </c>
      <c r="C27" s="125" t="s">
        <v>221</v>
      </c>
      <c r="D27" s="126" t="s">
        <v>285</v>
      </c>
      <c r="E27" s="126" t="s">
        <v>83</v>
      </c>
    </row>
    <row r="28" spans="1:10" ht="16" thickBot="1">
      <c r="B28" s="124"/>
      <c r="C28" s="127" t="s">
        <v>5</v>
      </c>
      <c r="D28" s="128" t="s">
        <v>5</v>
      </c>
      <c r="E28" s="128" t="s">
        <v>3</v>
      </c>
      <c r="F28" t="s">
        <v>287</v>
      </c>
      <c r="G28" t="s">
        <v>286</v>
      </c>
      <c r="H28" t="s">
        <v>247</v>
      </c>
      <c r="I28" t="s">
        <v>125</v>
      </c>
      <c r="J28" t="s">
        <v>248</v>
      </c>
    </row>
    <row r="29" spans="1:10" ht="16" thickBot="1">
      <c r="B29" s="129">
        <v>2</v>
      </c>
      <c r="C29" s="132">
        <f>(G29-J29)*F29/W</f>
        <v>23.137218725878185</v>
      </c>
      <c r="D29" s="132">
        <f>DEGREES(F29/E29)</f>
        <v>11.439552361983546</v>
      </c>
      <c r="E29" s="131">
        <f>F29*F29/(g*SQRT(B29*B29-1))</f>
        <v>1397.9540241880832</v>
      </c>
      <c r="F29" cm="1">
        <f t="array" ref="F29">0.25*Linterp(0,atmos_h,atmos_aspeed)</f>
        <v>279.11250000000001</v>
      </c>
      <c r="G29">
        <f>T_max_SL</f>
        <v>202</v>
      </c>
      <c r="H29" cm="1">
        <f t="array" ref="H29">B29*W/(Linterp(0,atmos_h,atmos_qms)*0.25*0.25*S)</f>
        <v>0.51430171164045491</v>
      </c>
      <c r="I29">
        <f>CD0+K*H29*H29</f>
        <v>3.6399387536970702E-2</v>
      </c>
      <c r="J29" cm="1">
        <f t="array" ref="J29">I29*S*Linterp(0,atmos_h,atmos_qms)*0.25*0.25</f>
        <v>127.39389366907479</v>
      </c>
    </row>
    <row r="30" spans="1:10" ht="16" thickBot="1">
      <c r="B30" s="120">
        <v>3</v>
      </c>
      <c r="C30" s="132">
        <f>(G30-J30)*F30/W</f>
        <v>0.88727306988997379</v>
      </c>
      <c r="D30" s="132">
        <f>DEGREES(F30/E30)</f>
        <v>18.680710781806521</v>
      </c>
      <c r="E30" s="131">
        <f>F30*F30/(g*SQRT(B30*B30-1))</f>
        <v>856.06851078279396</v>
      </c>
      <c r="F30" cm="1">
        <f t="array" ref="F30">0.25*Linterp(0,atmos_h,atmos_aspeed)</f>
        <v>279.11250000000001</v>
      </c>
      <c r="G30">
        <f>T_max_SL</f>
        <v>202</v>
      </c>
      <c r="H30" cm="1">
        <f t="array" ref="H30">B30*W/(Linterp(0,atmos_h,atmos_qms)*0.25*0.25*S)</f>
        <v>0.77145256746068236</v>
      </c>
      <c r="I30">
        <f>CD0+K*H30*H30</f>
        <v>5.6898621958184084E-2</v>
      </c>
      <c r="J30" cm="1">
        <f t="array" ref="J30">I30*S*Linterp(0,atmos_h,atmos_qms)*0.25*0.25</f>
        <v>199.13898244291826</v>
      </c>
    </row>
    <row r="31" spans="1:10" ht="16" thickBot="1">
      <c r="B31" s="129">
        <v>4</v>
      </c>
      <c r="C31" s="132">
        <f>(G31-J31)*F31/W</f>
        <v>-30.262650848493514</v>
      </c>
      <c r="D31" s="132">
        <f>DEGREES(F31/E31)</f>
        <v>25.579616713563492</v>
      </c>
      <c r="E31" s="131">
        <f>F31*F31/(g*SQRT(B31*B31-1))</f>
        <v>625.18404550078776</v>
      </c>
      <c r="F31" cm="1">
        <f t="array" ref="F31">0.25*Linterp(0,atmos_h,atmos_aspeed)</f>
        <v>279.11250000000001</v>
      </c>
      <c r="G31">
        <f>T_max_SL</f>
        <v>202</v>
      </c>
      <c r="H31" cm="1">
        <f t="array" ref="H31">B31*W/(Linterp(0,atmos_h,atmos_qms)*0.25*0.25*S)</f>
        <v>1.0286034232809098</v>
      </c>
      <c r="I31">
        <f>CD0+K*H31*H31</f>
        <v>8.5597550147882812E-2</v>
      </c>
      <c r="J31" cm="1">
        <f t="array" ref="J31">I31*S*Linterp(0,atmos_h,atmos_qms)*0.25*0.25</f>
        <v>299.58210672629912</v>
      </c>
    </row>
    <row r="34" spans="3:3">
      <c r="C34" t="s">
        <v>288</v>
      </c>
    </row>
  </sheetData>
  <mergeCells count="2">
    <mergeCell ref="A13:E13"/>
    <mergeCell ref="B25:E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5ADE7-E7C0-45D8-BEA8-CEB62EC65B18}">
  <dimension ref="A2:O26"/>
  <sheetViews>
    <sheetView tabSelected="1" workbookViewId="0">
      <selection activeCell="I17" sqref="I17"/>
    </sheetView>
  </sheetViews>
  <sheetFormatPr defaultRowHeight="14.5"/>
  <cols>
    <col min="1" max="1" width="43.6328125" customWidth="1"/>
    <col min="7" max="7" width="11.81640625" bestFit="1" customWidth="1"/>
  </cols>
  <sheetData>
    <row r="2" spans="1:15">
      <c r="A2" s="134" t="s">
        <v>289</v>
      </c>
    </row>
    <row r="3" spans="1:15">
      <c r="A3" s="134" t="s">
        <v>290</v>
      </c>
    </row>
    <row r="5" spans="1:15" ht="15.5">
      <c r="A5" s="135" t="s">
        <v>291</v>
      </c>
      <c r="B5" s="136" t="s">
        <v>99</v>
      </c>
      <c r="C5" s="136" t="s">
        <v>100</v>
      </c>
      <c r="D5" s="136" t="s">
        <v>101</v>
      </c>
      <c r="E5" s="136" t="s">
        <v>292</v>
      </c>
      <c r="F5" s="149" t="s">
        <v>308</v>
      </c>
      <c r="G5" s="149">
        <v>0</v>
      </c>
      <c r="H5" s="149">
        <v>2000</v>
      </c>
      <c r="I5" s="21" t="s">
        <v>59</v>
      </c>
    </row>
    <row r="6" spans="1:15" ht="15.5">
      <c r="A6" s="137" t="s">
        <v>293</v>
      </c>
      <c r="B6" s="138" t="s">
        <v>106</v>
      </c>
      <c r="C6" s="139" t="s">
        <v>4</v>
      </c>
      <c r="D6" s="151">
        <f>SQRT(2*W_TO/(G6*S*CL_max_TO))</f>
        <v>115.56893068528144</v>
      </c>
      <c r="E6" s="151">
        <f>SQRT(2*W_TO/(H6*S*CL_max_TO))</f>
        <v>119.02490545257893</v>
      </c>
      <c r="F6" t="s">
        <v>73</v>
      </c>
      <c r="G6" cm="1">
        <f t="array" ref="G6">Linterp(G5,atmos_h,atmos_rho)</f>
        <v>2.3768800000000001E-3</v>
      </c>
      <c r="H6" cm="1">
        <f t="array" ref="H6">Linterp(H5,atmos_h,atmos_rho)</f>
        <v>2.240855002695098E-3</v>
      </c>
    </row>
    <row r="7" spans="1:15" ht="15.5">
      <c r="A7" s="137" t="s">
        <v>107</v>
      </c>
      <c r="B7" s="141" t="s">
        <v>108</v>
      </c>
      <c r="C7" s="142" t="s">
        <v>6</v>
      </c>
      <c r="D7" s="153">
        <f>D6/G$8</f>
        <v>0.10351464972482551</v>
      </c>
      <c r="E7" s="153">
        <f>E6/H$8</f>
        <v>0.10735077424755118</v>
      </c>
      <c r="F7" t="s">
        <v>286</v>
      </c>
      <c r="G7" cm="1">
        <f t="array" ref="G7">T_max_SL*Linterp(G5,atmos_h,atmos_dr)</f>
        <v>202</v>
      </c>
      <c r="H7" cm="1">
        <f t="array" ref="H7">T_max_SL*Linterp(H5,atmos_h,atmos_dr)</f>
        <v>190.43986677678711</v>
      </c>
    </row>
    <row r="8" spans="1:15" ht="15.5">
      <c r="A8" s="137" t="s">
        <v>294</v>
      </c>
      <c r="B8" s="138" t="s">
        <v>106</v>
      </c>
      <c r="C8" s="139" t="s">
        <v>4</v>
      </c>
      <c r="D8" s="151">
        <f>1.05*D6</f>
        <v>121.34737721954552</v>
      </c>
      <c r="E8" s="151">
        <f>1.05*E6</f>
        <v>124.97615072520789</v>
      </c>
      <c r="F8" t="s">
        <v>74</v>
      </c>
      <c r="G8" cm="1">
        <f t="array" ref="G8">Linterp(G5,atmos_h,atmos_aspeed)</f>
        <v>1116.45</v>
      </c>
      <c r="H8" cm="1">
        <f t="array" ref="H8">Linterp(H5,atmos_h,atmos_aspeed)</f>
        <v>1108.7475268516198</v>
      </c>
    </row>
    <row r="9" spans="1:15" ht="15.5">
      <c r="A9" s="137" t="s">
        <v>107</v>
      </c>
      <c r="B9" s="141" t="s">
        <v>108</v>
      </c>
      <c r="C9" s="142" t="s">
        <v>6</v>
      </c>
      <c r="D9" s="153">
        <f>D8/G$8</f>
        <v>0.10869038221106679</v>
      </c>
      <c r="E9" s="153">
        <f>E8/H$8</f>
        <v>0.11271831295992875</v>
      </c>
      <c r="F9" t="s">
        <v>309</v>
      </c>
      <c r="G9">
        <f>CL_max_TO</f>
        <v>1.6</v>
      </c>
      <c r="H9">
        <f>CL_max_TO</f>
        <v>1.6</v>
      </c>
    </row>
    <row r="10" spans="1:15" ht="15.5">
      <c r="A10" s="137" t="s">
        <v>295</v>
      </c>
      <c r="B10" s="138" t="s">
        <v>106</v>
      </c>
      <c r="C10" s="139" t="s">
        <v>4</v>
      </c>
      <c r="D10" s="151">
        <f>1.1*D6</f>
        <v>127.1258237538096</v>
      </c>
      <c r="E10" s="151">
        <f>1.1*E6</f>
        <v>130.92739599783684</v>
      </c>
      <c r="F10" t="s">
        <v>125</v>
      </c>
      <c r="G10">
        <f>CD0+0.0148</f>
        <v>3.4799999999999998E-2</v>
      </c>
      <c r="H10">
        <f>CD0+0.0148</f>
        <v>3.4799999999999998E-2</v>
      </c>
      <c r="I10" t="s">
        <v>312</v>
      </c>
      <c r="O10" t="s">
        <v>315</v>
      </c>
    </row>
    <row r="11" spans="1:15" ht="15.5">
      <c r="A11" s="137" t="s">
        <v>107</v>
      </c>
      <c r="B11" s="141" t="s">
        <v>108</v>
      </c>
      <c r="C11" s="142" t="s">
        <v>6</v>
      </c>
      <c r="D11" s="153">
        <f>D10/G$8</f>
        <v>0.11386611469730806</v>
      </c>
      <c r="E11" s="153">
        <f>E10/H$8</f>
        <v>0.11808585167230631</v>
      </c>
      <c r="F11" t="s">
        <v>310</v>
      </c>
      <c r="G11">
        <v>0</v>
      </c>
      <c r="H11">
        <v>0</v>
      </c>
      <c r="I11" t="s">
        <v>314</v>
      </c>
      <c r="O11" cm="1">
        <f t="array" ref="O11">G9*S*Linterp(G5,atmos_h,atmos_qms)*POWER(0.7*D11,2)</f>
        <v>569.21925800037275</v>
      </c>
    </row>
    <row r="12" spans="1:15" ht="17.5">
      <c r="A12" s="137" t="s">
        <v>296</v>
      </c>
      <c r="B12" s="143" t="s">
        <v>297</v>
      </c>
      <c r="C12" s="144" t="s">
        <v>5</v>
      </c>
      <c r="D12" s="150">
        <f>(G7-G12-G13)/(W_TO/g)</f>
        <v>5.5506679022394145</v>
      </c>
      <c r="E12" s="150">
        <f>(H7-H12-H13)/(W_TO/g)</f>
        <v>5.1632348539856112</v>
      </c>
      <c r="F12" t="s">
        <v>126</v>
      </c>
      <c r="G12" cm="1">
        <f t="array" ref="G12">G10*S*Linterp(G5,atmos_h,atmos_qms)*POWER(0.7*D11,2)</f>
        <v>12.380518861508104</v>
      </c>
      <c r="H12" cm="1">
        <f t="array" ref="H12">H10*S*Linterp(H5,atmos_h,atmos_qms)*POWER(0.7*E11,2)</f>
        <v>12.380518861508103</v>
      </c>
    </row>
    <row r="13" spans="1:15" ht="17.5">
      <c r="A13" s="137" t="s">
        <v>298</v>
      </c>
      <c r="B13" s="138"/>
      <c r="C13" s="138"/>
      <c r="D13" s="140"/>
      <c r="E13" s="140"/>
      <c r="F13" t="s">
        <v>132</v>
      </c>
      <c r="G13">
        <f>0.025*(W_TO-G11)</f>
        <v>24</v>
      </c>
      <c r="H13">
        <f>0.025*(W_TO-H11)</f>
        <v>24</v>
      </c>
    </row>
    <row r="14" spans="1:15" ht="15.5">
      <c r="A14" s="137" t="s">
        <v>299</v>
      </c>
      <c r="B14" s="141" t="s">
        <v>59</v>
      </c>
      <c r="C14" s="142" t="s">
        <v>3</v>
      </c>
      <c r="D14" s="152">
        <f>POWER(D10,2)/(2*D12)</f>
        <v>1455.7685083775702</v>
      </c>
      <c r="E14" s="152">
        <f>POWER(E10,2)/(2*E12)</f>
        <v>1660.004193838105</v>
      </c>
    </row>
    <row r="15" spans="1:15" ht="15.5">
      <c r="A15" s="145"/>
      <c r="B15" s="146"/>
      <c r="C15" s="147"/>
      <c r="D15" s="148"/>
      <c r="E15" s="148"/>
      <c r="F15" s="23"/>
    </row>
    <row r="16" spans="1:15" ht="15.5">
      <c r="A16" s="135" t="s">
        <v>300</v>
      </c>
      <c r="B16" s="136" t="s">
        <v>99</v>
      </c>
      <c r="C16" s="136" t="s">
        <v>100</v>
      </c>
      <c r="D16" s="136" t="s">
        <v>101</v>
      </c>
      <c r="E16" s="136" t="s">
        <v>292</v>
      </c>
      <c r="F16" s="149" t="s">
        <v>308</v>
      </c>
      <c r="G16" s="149">
        <v>0</v>
      </c>
      <c r="H16" s="149">
        <v>2000</v>
      </c>
    </row>
    <row r="17" spans="1:8" ht="15.5">
      <c r="A17" s="137" t="s">
        <v>301</v>
      </c>
      <c r="B17" s="138" t="s">
        <v>106</v>
      </c>
      <c r="C17" s="139" t="s">
        <v>4</v>
      </c>
      <c r="D17" s="151">
        <f>SQRT(2*W_L/(G17*S*G20))</f>
        <v>85.708212890344768</v>
      </c>
      <c r="E17" s="151">
        <f>SQRT(2*W_L/(H17*S*H20))</f>
        <v>88.271232374412037</v>
      </c>
      <c r="F17" t="s">
        <v>73</v>
      </c>
      <c r="G17" cm="1">
        <f t="array" ref="G17">Linterp(G16,atmos_h,atmos_rho)</f>
        <v>2.3768800000000001E-3</v>
      </c>
      <c r="H17" cm="1">
        <f t="array" ref="H17">Linterp(H16,atmos_h,atmos_rho)</f>
        <v>2.240855002695098E-3</v>
      </c>
    </row>
    <row r="18" spans="1:8" ht="15.5">
      <c r="A18" s="137" t="s">
        <v>107</v>
      </c>
      <c r="B18" s="141" t="s">
        <v>108</v>
      </c>
      <c r="C18" s="142" t="s">
        <v>6</v>
      </c>
      <c r="D18" s="153">
        <f>D17/G$8</f>
        <v>7.6768518868148838E-2</v>
      </c>
      <c r="E18" s="153">
        <f>E17/H$8</f>
        <v>7.9613464956323723E-2</v>
      </c>
      <c r="F18" t="s">
        <v>286</v>
      </c>
      <c r="G18" cm="1">
        <f t="array" ref="G18">T_max_SL*Linterp(G16,atmos_h,atmos_dr)</f>
        <v>202</v>
      </c>
      <c r="H18" cm="1">
        <f t="array" ref="H18">T_max_SL*Linterp(H16,atmos_h,atmos_dr)</f>
        <v>190.43986677678711</v>
      </c>
    </row>
    <row r="19" spans="1:8" ht="15.5">
      <c r="A19" s="137" t="s">
        <v>302</v>
      </c>
      <c r="B19" s="138" t="s">
        <v>106</v>
      </c>
      <c r="C19" s="139" t="s">
        <v>4</v>
      </c>
      <c r="D19" s="151">
        <f>1.3*D17</f>
        <v>111.42067675744821</v>
      </c>
      <c r="E19" s="151">
        <f>1.3*E17</f>
        <v>114.75260208673565</v>
      </c>
      <c r="F19" t="s">
        <v>74</v>
      </c>
      <c r="G19" cm="1">
        <f t="array" ref="G19">Linterp(G16,atmos_h,atmos_aspeed)</f>
        <v>1116.45</v>
      </c>
      <c r="H19" cm="1">
        <f t="array" ref="H19">Linterp(H16,atmos_h,atmos_aspeed)</f>
        <v>1108.7475268516198</v>
      </c>
    </row>
    <row r="20" spans="1:8" ht="15.5">
      <c r="A20" s="137" t="s">
        <v>107</v>
      </c>
      <c r="B20" s="141" t="s">
        <v>108</v>
      </c>
      <c r="C20" s="142" t="s">
        <v>6</v>
      </c>
      <c r="D20" s="153">
        <f>D19/G$8</f>
        <v>9.979907452859349E-2</v>
      </c>
      <c r="E20" s="153">
        <f>E19/H$8</f>
        <v>0.10349750444322085</v>
      </c>
      <c r="F20" t="s">
        <v>311</v>
      </c>
      <c r="G20">
        <f>CL_max_L</f>
        <v>2</v>
      </c>
      <c r="H20">
        <f>CL_max_L</f>
        <v>2</v>
      </c>
    </row>
    <row r="21" spans="1:8" ht="15.5">
      <c r="A21" s="137" t="s">
        <v>303</v>
      </c>
      <c r="B21" s="138" t="s">
        <v>106</v>
      </c>
      <c r="C21" s="139" t="s">
        <v>4</v>
      </c>
      <c r="D21" s="151">
        <f>1.15*D17</f>
        <v>98.56444482389648</v>
      </c>
      <c r="E21" s="151">
        <f>1.15*E17</f>
        <v>101.51191723057383</v>
      </c>
    </row>
    <row r="22" spans="1:8" ht="15.5">
      <c r="A22" s="137" t="s">
        <v>107</v>
      </c>
      <c r="B22" s="141" t="s">
        <v>108</v>
      </c>
      <c r="C22" s="142" t="s">
        <v>6</v>
      </c>
      <c r="D22" s="153">
        <f>D21/G$8</f>
        <v>8.828379669837115E-2</v>
      </c>
      <c r="E22" s="153">
        <f>E21/H$8</f>
        <v>9.1555484699772274E-2</v>
      </c>
    </row>
    <row r="23" spans="1:8" ht="15.5">
      <c r="A23" s="137" t="s">
        <v>304</v>
      </c>
      <c r="B23" s="141" t="s">
        <v>59</v>
      </c>
      <c r="C23" s="142" t="s">
        <v>3</v>
      </c>
      <c r="D23" s="152">
        <f>3*D21</f>
        <v>295.69333447168947</v>
      </c>
      <c r="E23" s="152">
        <f>3*E21</f>
        <v>304.53575169172149</v>
      </c>
    </row>
    <row r="24" spans="1:8" ht="15.5">
      <c r="A24" s="137" t="s">
        <v>305</v>
      </c>
      <c r="B24" s="141" t="s">
        <v>59</v>
      </c>
      <c r="C24" s="142" t="s">
        <v>3</v>
      </c>
      <c r="D24" s="152">
        <f>POWER(D21,2)/(2*g*0.3)</f>
        <v>503.25054305976533</v>
      </c>
      <c r="E24" s="152">
        <f>POWER(E21,2)/(2*g*0.3)</f>
        <v>533.79899607482616</v>
      </c>
    </row>
    <row r="25" spans="1:8" ht="17.5">
      <c r="A25" s="137" t="s">
        <v>306</v>
      </c>
      <c r="B25" s="141"/>
      <c r="C25" s="142"/>
      <c r="D25" s="140"/>
      <c r="E25" s="140"/>
    </row>
    <row r="26" spans="1:8" ht="15.5">
      <c r="A26" s="137" t="s">
        <v>307</v>
      </c>
      <c r="B26" s="141" t="s">
        <v>59</v>
      </c>
      <c r="C26" s="142" t="s">
        <v>3</v>
      </c>
      <c r="D26" s="152">
        <f>D24+D23</f>
        <v>798.94387753145475</v>
      </c>
      <c r="E26" s="152">
        <f>E24+E23</f>
        <v>838.33474776654771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30</vt:i4>
      </vt:variant>
    </vt:vector>
  </HeadingPairs>
  <TitlesOfParts>
    <vt:vector size="42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HW#11 Calculations</vt:lpstr>
      <vt:lpstr>HW#12 Calculations</vt:lpstr>
      <vt:lpstr>HW#13 Calculations</vt:lpstr>
      <vt:lpstr>HW#14 Calculations </vt:lpstr>
      <vt:lpstr>HW#15 Calculations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CL_max_L</vt:lpstr>
      <vt:lpstr>CL_max_TO</vt:lpstr>
      <vt:lpstr>g</vt:lpstr>
      <vt:lpstr>K</vt:lpstr>
      <vt:lpstr>LD_max</vt:lpstr>
      <vt:lpstr>max_CL</vt:lpstr>
      <vt:lpstr>max_n</vt:lpstr>
      <vt:lpstr>min_n</vt:lpstr>
      <vt:lpstr>S</vt:lpstr>
      <vt:lpstr>sfc_SL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  <vt:lpstr>W_L</vt:lpstr>
      <vt:lpstr>W_TO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2023-03-07T02:36:54Z</dcterms:modified>
</cp:coreProperties>
</file>