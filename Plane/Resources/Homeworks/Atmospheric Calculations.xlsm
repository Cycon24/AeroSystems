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53" documentId="8_{D0750C43-06E0-4053-BA90-C64D10F0AE09}" xr6:coauthVersionLast="47" xr6:coauthVersionMax="47" xr10:uidLastSave="{E58DE7FC-33E7-4B9C-BCCA-F9EB7BA05D5F}"/>
  <bookViews>
    <workbookView xWindow="12710" yWindow="0" windowWidth="12980" windowHeight="13770" tabRatio="702" activeTab="1" xr2:uid="{00000000-000D-0000-FFFF-FFFF00000000}"/>
  </bookViews>
  <sheets>
    <sheet name="Atmospheric Table" sheetId="62" r:id="rId1"/>
    <sheet name="Sheet1" sheetId="63" r:id="rId2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p" comment="Atmospheric Pressure (lbs/ft^2)">'Atmospheric Table'!$G$2:$G$63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63" l="1"/>
  <c r="O31" i="62"/>
  <c r="N31" i="62"/>
  <c r="M31" i="62"/>
  <c r="L31" i="62"/>
  <c r="K35" i="62"/>
  <c r="J38" i="62"/>
  <c r="H39" i="62"/>
  <c r="F2" i="62"/>
  <c r="E2" i="62"/>
  <c r="C2" i="62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B16" i="63" a="1"/>
  <c r="B13" i="63" a="1"/>
  <c r="B11" i="63" a="1"/>
  <c r="C9" i="63" a="1"/>
  <c r="B9" i="63" a="1"/>
  <c r="B7" i="63" a="1"/>
  <c r="B5" i="63" a="1"/>
  <c r="B2" i="63" a="1"/>
  <c r="B16" i="63" l="1"/>
  <c r="B13" i="63"/>
  <c r="B11" i="63"/>
  <c r="C9" i="63"/>
  <c r="B9" i="63"/>
  <c r="B7" i="63"/>
  <c r="B5" i="63"/>
  <c r="B2" i="63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O47" i="62" l="1"/>
  <c r="J55" i="62"/>
  <c r="J48" i="62"/>
  <c r="O54" i="62"/>
  <c r="H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K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L38" i="62" l="1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J30" i="62" l="1"/>
  <c r="J15" i="62"/>
  <c r="O33" i="62"/>
  <c r="L15" i="62"/>
  <c r="H11" i="62"/>
  <c r="J11" i="62"/>
  <c r="J4" i="62"/>
  <c r="H4" i="62"/>
  <c r="J19" i="62"/>
  <c r="H19" i="62"/>
  <c r="J2" i="62"/>
  <c r="H2" i="62"/>
  <c r="L2" i="62" s="1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O11" i="62" l="1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<sst xmlns="http://schemas.openxmlformats.org/spreadsheetml/2006/main" count="29" uniqueCount="25">
  <si>
    <t>SQRTDR</t>
  </si>
  <si>
    <t>VELA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</si>
  <si>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</si>
  <si>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</si>
  <si>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</si>
  <si>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</si>
  <si>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</si>
  <si>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</si>
  <si>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</si>
  <si>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</si>
  <si>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</si>
  <si>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</si>
  <si>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</si>
  <si>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</si>
  <si>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</si>
  <si>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P_SL (lbs/ft^2)</t>
  </si>
  <si>
    <t>ρ_SL (slugs/ft^3)</t>
  </si>
  <si>
    <t>a_SL (ft/s)</t>
  </si>
  <si>
    <t>g (ft/sec^2)</t>
  </si>
  <si>
    <t>T_SL ®</t>
  </si>
  <si>
    <t>Mach</t>
  </si>
  <si>
    <t>qms</t>
  </si>
  <si>
    <t>rho</t>
  </si>
  <si>
    <t>a</t>
  </si>
  <si>
    <t>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</si>
</sst>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0.0"/>
    <numFmt numFmtId="166" formatCode="0.00000000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1" xfId="0" applyBorder="1"/>
    <xf numFmtId="165" fontId="0" fillId="0" borderId="0" xfId="0" applyNumberFormat="1"/>
    <xf numFmtId="166" fontId="0" fillId="0" borderId="0" xfId="0" applyNumberFormat="1"/>
    <xf numFmtId="0" fontId="0" fillId="2" borderId="1" xfId="0" applyFill="1" applyBorder="1" applyAlignment="1">
      <alignment horizontal="center"/>
    </xf>
    <xf numFmtId="167" fontId="0" fillId="2" borderId="1" xfId="1" applyNumberFormat="1" applyFont="1" applyFill="1" applyBorder="1"/>
    <xf numFmtId="167" fontId="0" fillId="2" borderId="2" xfId="1" applyNumberFormat="1" applyFont="1" applyFill="1" applyBorder="1"/>
    <xf numFmtId="165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6" fontId="0" fillId="0" borderId="2" xfId="0" applyNumberFormat="1" applyBorder="1"/>
    <xf numFmtId="0" fontId="0" fillId="0" borderId="2" xfId="0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36" sqref="Q36"/>
    </sheetView>
  </sheetViews>
  <sheetFormatPr defaultRowHeight="14.5" x14ac:dyDescent="0.35"/>
  <cols>
    <col min="1" max="1" width="10.1796875" style="6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453125" bestFit="1" customWidth="1"/>
    <col min="12" max="12" width="10.453125" bestFit="1" customWidth="1"/>
    <col min="15" max="15" width="12.453125" customWidth="1"/>
    <col min="19" max="19" width="13" customWidth="1"/>
    <col min="20" max="20" width="14.26953125" customWidth="1"/>
    <col min="21" max="21" width="9.81640625" customWidth="1"/>
    <col min="22" max="22" width="12.453125" customWidth="1"/>
  </cols>
  <sheetData>
    <row r="1" spans="1:22" s="3" customFormat="1" ht="15.5" x14ac:dyDescent="0.35">
      <c r="A1" s="4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  <c r="J1" s="5" t="s">
        <v>0</v>
      </c>
      <c r="K1" s="5" t="s">
        <v>11</v>
      </c>
      <c r="L1" s="5" t="s">
        <v>12</v>
      </c>
      <c r="M1" s="5" t="s">
        <v>13</v>
      </c>
      <c r="N1" s="5" t="s">
        <v>1</v>
      </c>
      <c r="O1" s="5" t="s">
        <v>14</v>
      </c>
      <c r="R1" s="3" t="s">
        <v>19</v>
      </c>
      <c r="S1" s="3" t="s">
        <v>15</v>
      </c>
      <c r="T1" s="3" t="s">
        <v>16</v>
      </c>
      <c r="U1" s="3" t="s">
        <v>17</v>
      </c>
      <c r="V1" s="3" t="s">
        <v>18</v>
      </c>
    </row>
    <row r="2" spans="1:22" x14ac:dyDescent="0.35">
      <c r="A2" s="9">
        <v>0</v>
      </c>
      <c r="B2" s="7">
        <f>C2-459.67</f>
        <v>58.999999999999943</v>
      </c>
      <c r="C2" s="7">
        <f>$R$2 - 3.566*A2/1000</f>
        <v>518.66999999999996</v>
      </c>
      <c r="D2" s="7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8">
        <f>I2*$T$2</f>
        <v>2.3768800000000001E-3</v>
      </c>
      <c r="I2" s="1">
        <f>F2/E2</f>
        <v>1</v>
      </c>
      <c r="J2" s="1">
        <f>SQRT(I2)</f>
        <v>1</v>
      </c>
      <c r="K2" s="7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8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10">
        <v>1000</v>
      </c>
      <c r="B3" s="7">
        <f t="shared" ref="B3:B63" si="0">C3-459.67</f>
        <v>55.433999999999912</v>
      </c>
      <c r="C3" s="7">
        <f>$R$2 - 3.566*A3/1000</f>
        <v>515.10399999999993</v>
      </c>
      <c r="D3" s="7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8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7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8">
        <f>(0.226968*POWER(10,-7)*POWER(C3,1.5))/(H3*(C3+198.73))</f>
        <v>1.6104786919317091E-4</v>
      </c>
    </row>
    <row r="4" spans="1:22" x14ac:dyDescent="0.35">
      <c r="A4" s="10">
        <v>2000</v>
      </c>
      <c r="B4" s="7">
        <f t="shared" si="0"/>
        <v>51.867999999999938</v>
      </c>
      <c r="C4" s="7">
        <f t="shared" ref="C4:C38" si="8">$R$2 - 3.566*A4/1000</f>
        <v>511.53799999999995</v>
      </c>
      <c r="D4" s="7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8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7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8">
        <f t="shared" ref="O4:O63" si="13">(0.226968*POWER(10,-7)*POWER(C4,1.5))/(H4*(C4+198.73))</f>
        <v>1.6498538628572268E-4</v>
      </c>
    </row>
    <row r="5" spans="1:22" x14ac:dyDescent="0.35">
      <c r="A5" s="10">
        <v>3000</v>
      </c>
      <c r="B5" s="7">
        <f t="shared" si="0"/>
        <v>48.301999999999964</v>
      </c>
      <c r="C5" s="7">
        <f t="shared" si="8"/>
        <v>507.97199999999998</v>
      </c>
      <c r="D5" s="7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8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7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8">
        <f t="shared" si="13"/>
        <v>1.6904607513595972E-4</v>
      </c>
    </row>
    <row r="6" spans="1:22" x14ac:dyDescent="0.35">
      <c r="A6" s="10">
        <v>4000</v>
      </c>
      <c r="B6" s="7">
        <f t="shared" si="0"/>
        <v>44.735999999999933</v>
      </c>
      <c r="C6" s="7">
        <f t="shared" si="8"/>
        <v>504.40599999999995</v>
      </c>
      <c r="D6" s="7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8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7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8">
        <f t="shared" si="13"/>
        <v>1.7323464696702602E-4</v>
      </c>
    </row>
    <row r="7" spans="1:22" x14ac:dyDescent="0.35">
      <c r="A7" s="10">
        <v>5000</v>
      </c>
      <c r="B7" s="7">
        <f t="shared" si="0"/>
        <v>41.169999999999959</v>
      </c>
      <c r="C7" s="7">
        <f t="shared" si="8"/>
        <v>500.84</v>
      </c>
      <c r="D7" s="7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8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7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8">
        <f t="shared" si="13"/>
        <v>1.7755602666546483E-4</v>
      </c>
    </row>
    <row r="8" spans="1:22" x14ac:dyDescent="0.35">
      <c r="A8" s="10">
        <v>6000</v>
      </c>
      <c r="B8" s="7">
        <f t="shared" si="0"/>
        <v>37.603999999999928</v>
      </c>
      <c r="C8" s="7">
        <f t="shared" si="8"/>
        <v>497.27399999999994</v>
      </c>
      <c r="D8" s="7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8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7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8">
        <f t="shared" si="13"/>
        <v>1.8201536401772435E-4</v>
      </c>
    </row>
    <row r="9" spans="1:22" x14ac:dyDescent="0.35">
      <c r="A9" s="10">
        <v>7000</v>
      </c>
      <c r="B9" s="7">
        <f t="shared" si="0"/>
        <v>34.037999999999954</v>
      </c>
      <c r="C9" s="7">
        <f t="shared" si="8"/>
        <v>493.70799999999997</v>
      </c>
      <c r="D9" s="7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8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7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8">
        <f t="shared" si="13"/>
        <v>1.8661804562043285E-4</v>
      </c>
    </row>
    <row r="10" spans="1:22" x14ac:dyDescent="0.35">
      <c r="A10" s="10">
        <v>8000</v>
      </c>
      <c r="B10" s="7">
        <f t="shared" si="0"/>
        <v>30.471999999999923</v>
      </c>
      <c r="C10" s="7">
        <f t="shared" si="8"/>
        <v>490.14199999999994</v>
      </c>
      <c r="D10" s="7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8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7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8">
        <f t="shared" si="13"/>
        <v>1.9136970750990075E-4</v>
      </c>
    </row>
    <row r="11" spans="1:22" x14ac:dyDescent="0.35">
      <c r="A11" s="10">
        <v>9000</v>
      </c>
      <c r="B11" s="7">
        <f t="shared" si="0"/>
        <v>26.905999999999949</v>
      </c>
      <c r="C11" s="7">
        <f t="shared" si="8"/>
        <v>486.57599999999996</v>
      </c>
      <c r="D11" s="7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8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7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8">
        <f t="shared" si="13"/>
        <v>1.9627624855972155E-4</v>
      </c>
    </row>
    <row r="12" spans="1:22" x14ac:dyDescent="0.35">
      <c r="A12" s="10">
        <v>10000</v>
      </c>
      <c r="B12" s="7">
        <f t="shared" si="0"/>
        <v>23.339999999999975</v>
      </c>
      <c r="C12" s="7">
        <f t="shared" si="8"/>
        <v>483.01</v>
      </c>
      <c r="D12" s="7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8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7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8">
        <f t="shared" si="13"/>
        <v>2.0134384469904898E-4</v>
      </c>
    </row>
    <row r="13" spans="1:22" x14ac:dyDescent="0.35">
      <c r="A13" s="10">
        <v>11000</v>
      </c>
      <c r="B13" s="7">
        <f t="shared" si="0"/>
        <v>19.773999999999944</v>
      </c>
      <c r="C13" s="7">
        <f t="shared" si="8"/>
        <v>479.44399999999996</v>
      </c>
      <c r="D13" s="7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8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7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8">
        <f t="shared" si="13"/>
        <v>2.0657896400812245E-4</v>
      </c>
    </row>
    <row r="14" spans="1:22" x14ac:dyDescent="0.35">
      <c r="A14" s="10">
        <v>12000</v>
      </c>
      <c r="B14" s="7">
        <f t="shared" si="0"/>
        <v>16.207999999999913</v>
      </c>
      <c r="C14" s="7">
        <f t="shared" si="8"/>
        <v>475.87799999999993</v>
      </c>
      <c r="D14" s="7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8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7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8">
        <f t="shared" si="13"/>
        <v>2.1198838275196289E-4</v>
      </c>
    </row>
    <row r="15" spans="1:22" x14ac:dyDescent="0.35">
      <c r="A15" s="10">
        <v>13000</v>
      </c>
      <c r="B15" s="7">
        <f t="shared" si="0"/>
        <v>12.641999999999939</v>
      </c>
      <c r="C15" s="7">
        <f t="shared" si="8"/>
        <v>472.31199999999995</v>
      </c>
      <c r="D15" s="7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8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7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8">
        <f t="shared" si="13"/>
        <v>2.1757920241787638E-4</v>
      </c>
    </row>
    <row r="16" spans="1:22" x14ac:dyDescent="0.35">
      <c r="A16" s="10">
        <v>14000</v>
      </c>
      <c r="B16" s="7">
        <f t="shared" si="0"/>
        <v>9.075999999999965</v>
      </c>
      <c r="C16" s="7">
        <f t="shared" si="8"/>
        <v>468.74599999999998</v>
      </c>
      <c r="D16" s="7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8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7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8">
        <f t="shared" si="13"/>
        <v>2.2335886782750441E-4</v>
      </c>
    </row>
    <row r="17" spans="1:15" x14ac:dyDescent="0.35">
      <c r="A17" s="10">
        <v>15000</v>
      </c>
      <c r="B17" s="7">
        <f t="shared" si="0"/>
        <v>5.5099999999999341</v>
      </c>
      <c r="C17" s="7">
        <f t="shared" si="8"/>
        <v>465.17999999999995</v>
      </c>
      <c r="D17" s="7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8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7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8">
        <f t="shared" si="13"/>
        <v>2.2933518639972562E-4</v>
      </c>
    </row>
    <row r="18" spans="1:15" x14ac:dyDescent="0.35">
      <c r="A18" s="10">
        <v>16000</v>
      </c>
      <c r="B18" s="7">
        <f t="shared" si="0"/>
        <v>1.94399999999996</v>
      </c>
      <c r="C18" s="7">
        <f t="shared" si="8"/>
        <v>461.61399999999998</v>
      </c>
      <c r="D18" s="7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8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7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8">
        <f t="shared" si="13"/>
        <v>2.3551634864674148E-4</v>
      </c>
    </row>
    <row r="19" spans="1:15" x14ac:dyDescent="0.35">
      <c r="A19" s="10">
        <v>17000</v>
      </c>
      <c r="B19" s="7">
        <f t="shared" si="0"/>
        <v>-1.6220000000000709</v>
      </c>
      <c r="C19" s="7">
        <f t="shared" si="8"/>
        <v>458.04799999999994</v>
      </c>
      <c r="D19" s="7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8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7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8">
        <f t="shared" si="13"/>
        <v>2.4191094999224328E-4</v>
      </c>
    </row>
    <row r="20" spans="1:15" x14ac:dyDescent="0.35">
      <c r="A20" s="10">
        <v>18000</v>
      </c>
      <c r="B20" s="7">
        <f t="shared" si="0"/>
        <v>-5.188000000000045</v>
      </c>
      <c r="C20" s="7">
        <f t="shared" si="8"/>
        <v>454.48199999999997</v>
      </c>
      <c r="D20" s="7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8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7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8">
        <f t="shared" si="13"/>
        <v>2.4852801400769315E-4</v>
      </c>
    </row>
    <row r="21" spans="1:15" x14ac:dyDescent="0.35">
      <c r="A21" s="10">
        <v>19000</v>
      </c>
      <c r="B21" s="7">
        <f t="shared" si="0"/>
        <v>-8.7540000000000759</v>
      </c>
      <c r="C21" s="7">
        <f t="shared" si="8"/>
        <v>450.91599999999994</v>
      </c>
      <c r="D21" s="7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8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7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8">
        <f t="shared" si="13"/>
        <v>2.5537701717053018E-4</v>
      </c>
    </row>
    <row r="22" spans="1:15" x14ac:dyDescent="0.35">
      <c r="A22" s="10">
        <v>20000</v>
      </c>
      <c r="B22" s="7">
        <f t="shared" si="0"/>
        <v>-12.32000000000005</v>
      </c>
      <c r="C22" s="7">
        <f t="shared" si="8"/>
        <v>447.34999999999997</v>
      </c>
      <c r="D22" s="7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8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7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8">
        <f t="shared" si="13"/>
        <v>2.6246791525657491E-4</v>
      </c>
    </row>
    <row r="23" spans="1:15" x14ac:dyDescent="0.35">
      <c r="A23" s="10">
        <v>21000</v>
      </c>
      <c r="B23" s="7">
        <f t="shared" si="0"/>
        <v>-15.886000000000024</v>
      </c>
      <c r="C23" s="7">
        <f t="shared" si="8"/>
        <v>443.78399999999999</v>
      </c>
      <c r="D23" s="7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8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7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8">
        <f t="shared" si="13"/>
        <v>2.6981117148813734E-4</v>
      </c>
    </row>
    <row r="24" spans="1:15" x14ac:dyDescent="0.35">
      <c r="A24" s="10">
        <v>22000</v>
      </c>
      <c r="B24" s="7">
        <f t="shared" si="0"/>
        <v>-19.452000000000055</v>
      </c>
      <c r="C24" s="7">
        <f t="shared" si="8"/>
        <v>440.21799999999996</v>
      </c>
      <c r="D24" s="7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8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7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8">
        <f t="shared" si="13"/>
        <v>2.7741778656940229E-4</v>
      </c>
    </row>
    <row r="25" spans="1:15" x14ac:dyDescent="0.35">
      <c r="A25" s="10">
        <v>23000</v>
      </c>
      <c r="B25" s="7">
        <f t="shared" si="0"/>
        <v>-23.018000000000086</v>
      </c>
      <c r="C25" s="7">
        <f t="shared" si="8"/>
        <v>436.65199999999993</v>
      </c>
      <c r="D25" s="7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8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7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8">
        <f t="shared" si="13"/>
        <v>2.8529933075165315E-4</v>
      </c>
    </row>
    <row r="26" spans="1:15" x14ac:dyDescent="0.35">
      <c r="A26" s="10">
        <v>24000</v>
      </c>
      <c r="B26" s="7">
        <f t="shared" si="0"/>
        <v>-26.58400000000006</v>
      </c>
      <c r="C26" s="7">
        <f t="shared" si="8"/>
        <v>433.08599999999996</v>
      </c>
      <c r="D26" s="7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8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7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8">
        <f t="shared" si="13"/>
        <v>2.9346797808290324E-4</v>
      </c>
    </row>
    <row r="27" spans="1:15" x14ac:dyDescent="0.35">
      <c r="A27" s="10">
        <v>25000</v>
      </c>
      <c r="B27" s="7">
        <f t="shared" si="0"/>
        <v>-30.150000000000034</v>
      </c>
      <c r="C27" s="7">
        <f t="shared" si="8"/>
        <v>429.52</v>
      </c>
      <c r="D27" s="7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8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7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8">
        <f t="shared" si="13"/>
        <v>3.0193654300962077E-4</v>
      </c>
    </row>
    <row r="28" spans="1:15" x14ac:dyDescent="0.35">
      <c r="A28" s="10">
        <v>26000</v>
      </c>
      <c r="B28" s="7">
        <f t="shared" si="0"/>
        <v>-33.716000000000065</v>
      </c>
      <c r="C28" s="7">
        <f t="shared" si="8"/>
        <v>425.95399999999995</v>
      </c>
      <c r="D28" s="7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8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7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8">
        <f t="shared" si="13"/>
        <v>3.1071851951258831E-4</v>
      </c>
    </row>
    <row r="29" spans="1:15" x14ac:dyDescent="0.35">
      <c r="A29" s="10">
        <v>27000</v>
      </c>
      <c r="B29" s="7">
        <f t="shared" si="0"/>
        <v>-37.282000000000039</v>
      </c>
      <c r="C29" s="7">
        <f t="shared" si="8"/>
        <v>422.38799999999998</v>
      </c>
      <c r="D29" s="7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8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7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8">
        <f t="shared" si="13"/>
        <v>3.1982812297463718E-4</v>
      </c>
    </row>
    <row r="30" spans="1:15" x14ac:dyDescent="0.35">
      <c r="A30" s="10">
        <v>28000</v>
      </c>
      <c r="B30" s="7">
        <f t="shared" si="0"/>
        <v>-40.84800000000007</v>
      </c>
      <c r="C30" s="7">
        <f t="shared" si="8"/>
        <v>418.82199999999995</v>
      </c>
      <c r="D30" s="7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8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7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8">
        <f t="shared" si="13"/>
        <v>3.2928033499522719E-4</v>
      </c>
    </row>
    <row r="31" spans="1:15" x14ac:dyDescent="0.35">
      <c r="A31" s="10">
        <v>29000</v>
      </c>
      <c r="B31" s="7">
        <f t="shared" si="0"/>
        <v>-44.414000000000044</v>
      </c>
      <c r="C31" s="7">
        <f t="shared" si="8"/>
        <v>415.25599999999997</v>
      </c>
      <c r="D31" s="7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8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7">
        <f t="shared" si="5"/>
        <v>460.32449446819021</v>
      </c>
      <c r="L31" s="1">
        <f>H31*$V$2</f>
        <v>2.9680386124347612E-2</v>
      </c>
      <c r="M31" s="2">
        <f>$U$2*SQRT(E31)</f>
        <v>998.96821851045968</v>
      </c>
      <c r="N31" s="2">
        <f>3600*M31/6076.4</f>
        <v>591.84477431335245</v>
      </c>
      <c r="O31" s="8">
        <f>(0.226968*POWER(10,-7)*POWER(C31,1.5))/(H31*(C31+198.73))</f>
        <v>3.3909095138566687E-4</v>
      </c>
    </row>
    <row r="32" spans="1:15" x14ac:dyDescent="0.35">
      <c r="A32" s="10">
        <v>30000</v>
      </c>
      <c r="B32" s="7">
        <f t="shared" si="0"/>
        <v>-47.980000000000075</v>
      </c>
      <c r="C32" s="7">
        <f t="shared" si="8"/>
        <v>411.68999999999994</v>
      </c>
      <c r="D32" s="7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8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7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8">
        <f t="shared" si="13"/>
        <v>3.4927663359950574E-4</v>
      </c>
    </row>
    <row r="33" spans="1:15" x14ac:dyDescent="0.35">
      <c r="A33" s="10">
        <v>31000</v>
      </c>
      <c r="B33" s="7">
        <f t="shared" si="0"/>
        <v>-51.546000000000049</v>
      </c>
      <c r="C33" s="7">
        <f t="shared" si="8"/>
        <v>408.12399999999997</v>
      </c>
      <c r="D33" s="7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8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7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8">
        <f t="shared" si="13"/>
        <v>3.5985496387529761E-4</v>
      </c>
    </row>
    <row r="34" spans="1:15" x14ac:dyDescent="0.35">
      <c r="A34" s="10">
        <v>32000</v>
      </c>
      <c r="B34" s="7">
        <f t="shared" si="0"/>
        <v>-55.112000000000023</v>
      </c>
      <c r="C34" s="7">
        <f t="shared" si="8"/>
        <v>404.55799999999999</v>
      </c>
      <c r="D34" s="7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8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7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8">
        <f t="shared" si="13"/>
        <v>3.7084450439394632E-4</v>
      </c>
    </row>
    <row r="35" spans="1:15" x14ac:dyDescent="0.35">
      <c r="A35" s="10">
        <v>33000</v>
      </c>
      <c r="B35" s="7">
        <f t="shared" si="0"/>
        <v>-58.678000000000054</v>
      </c>
      <c r="C35" s="7">
        <f t="shared" si="8"/>
        <v>400.99199999999996</v>
      </c>
      <c r="D35" s="7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8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7">
        <f>1481.4354*F35</f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8">
        <f t="shared" si="13"/>
        <v>3.8226486078022482E-4</v>
      </c>
    </row>
    <row r="36" spans="1:15" x14ac:dyDescent="0.35">
      <c r="A36" s="10">
        <v>34000</v>
      </c>
      <c r="B36" s="7">
        <f t="shared" si="0"/>
        <v>-62.244000000000085</v>
      </c>
      <c r="C36" s="7">
        <f t="shared" si="8"/>
        <v>397.42599999999993</v>
      </c>
      <c r="D36" s="7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8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7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8">
        <f t="shared" si="13"/>
        <v>3.941367503083253E-4</v>
      </c>
    </row>
    <row r="37" spans="1:15" x14ac:dyDescent="0.35">
      <c r="A37" s="10">
        <v>35000</v>
      </c>
      <c r="B37" s="7">
        <f t="shared" si="0"/>
        <v>-65.810000000000059</v>
      </c>
      <c r="C37" s="7">
        <f t="shared" si="8"/>
        <v>393.85999999999996</v>
      </c>
      <c r="D37" s="7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8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7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8">
        <f t="shared" si="13"/>
        <v>4.064820752044805E-4</v>
      </c>
    </row>
    <row r="38" spans="1:15" s="16" customFormat="1" x14ac:dyDescent="0.35">
      <c r="A38" s="11">
        <v>36000</v>
      </c>
      <c r="B38" s="12">
        <f t="shared" si="0"/>
        <v>-69.376000000000033</v>
      </c>
      <c r="C38" s="12">
        <f t="shared" si="8"/>
        <v>390.29399999999998</v>
      </c>
      <c r="D38" s="12">
        <f t="shared" ref="D38" si="14">(5/9)*(B38-32)</f>
        <v>-56.320000000000022</v>
      </c>
      <c r="E38" s="13">
        <f t="shared" ref="E38" si="15">C38/$R$2</f>
        <v>0.7524900225576957</v>
      </c>
      <c r="F38" s="13">
        <f t="shared" ref="F38" si="16">POWER(E38,5.2562)</f>
        <v>0.22431753327177126</v>
      </c>
      <c r="G38" s="14">
        <f t="shared" ref="G38" si="17">F38*$S$2</f>
        <v>474.70525026038774</v>
      </c>
      <c r="H38" s="15">
        <f t="shared" ref="H38" si="18">I38*$T$2</f>
        <v>7.0854874151122377E-4</v>
      </c>
      <c r="I38" s="13">
        <f t="shared" ref="I38" si="19">F38/E38</f>
        <v>0.29810034226011567</v>
      </c>
      <c r="J38" s="13">
        <f>SQRT(I38)</f>
        <v>0.54598566122208347</v>
      </c>
      <c r="K38" s="12">
        <f t="shared" ref="K38" si="20">1481.4354*F38</f>
        <v>332.31193462947977</v>
      </c>
      <c r="L38" s="13">
        <f t="shared" ref="L38" si="21">H38*$V$2</f>
        <v>2.27968815031412E-2</v>
      </c>
      <c r="M38" s="14">
        <f t="shared" ref="M38" si="22">$U$2*SQRT(E38)</f>
        <v>968.47775756209501</v>
      </c>
      <c r="N38" s="14">
        <f t="shared" ref="N38" si="23">3600*M38/6076.4</f>
        <v>573.7805159672738</v>
      </c>
      <c r="O38" s="15">
        <f t="shared" ref="O38" si="24">(0.226968*POWER(10,-7)*POWER(C38,1.5))/(H38*(C38+198.73))</f>
        <v>4.1932400147644294E-4</v>
      </c>
    </row>
    <row r="39" spans="1:15" x14ac:dyDescent="0.35">
      <c r="A39" s="10">
        <v>36089</v>
      </c>
      <c r="B39" s="7">
        <f t="shared" ref="B39" si="25">C39-459.67</f>
        <v>-69.680000000000007</v>
      </c>
      <c r="C39" s="7">
        <v>389.99</v>
      </c>
      <c r="D39" s="7">
        <f t="shared" ref="D39" si="26">(5/9)*(B39-32)</f>
        <v>-56.488888888888894</v>
      </c>
      <c r="E39" s="1">
        <f t="shared" ref="E39" si="27">C39/$R$2</f>
        <v>0.75190390807257035</v>
      </c>
      <c r="F39" s="1">
        <f>0.223361*EXP(-0.0481*(A39-36089)/1000)</f>
        <v>0.223361</v>
      </c>
      <c r="G39" s="2">
        <f t="shared" ref="G39" si="28">F39*$S$2</f>
        <v>472.68101541999994</v>
      </c>
      <c r="H39" s="8">
        <f>I39*$T$2</f>
        <v>7.0607731650300159E-4</v>
      </c>
      <c r="I39" s="1">
        <f t="shared" ref="I39" si="29">F39/E39</f>
        <v>0.29706056532218772</v>
      </c>
      <c r="J39" s="1">
        <f>SQRT(I39)</f>
        <v>0.54503262775928174</v>
      </c>
      <c r="K39" s="7">
        <f t="shared" ref="K39" si="30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1">3600*M39/6076.4</f>
        <v>573.55701361285662</v>
      </c>
      <c r="O39" s="8">
        <f t="shared" ref="O39" si="32">(0.226968*POWER(10,-7)*POWER(C39,1.5))/(H39*(C39+198.73))</f>
        <v>4.2051722320626757E-4</v>
      </c>
    </row>
    <row r="40" spans="1:15" x14ac:dyDescent="0.35">
      <c r="A40" s="10">
        <v>37000</v>
      </c>
      <c r="B40" s="7">
        <f t="shared" si="0"/>
        <v>-69.680000000000007</v>
      </c>
      <c r="C40" s="7">
        <v>389.99</v>
      </c>
      <c r="D40" s="7">
        <f t="shared" si="1"/>
        <v>-56.488888888888894</v>
      </c>
      <c r="E40" s="1">
        <f t="shared" si="9"/>
        <v>0.75190390807257035</v>
      </c>
      <c r="F40" s="1">
        <f t="shared" ref="F40:F63" si="33">0.223361*EXP(-0.0481*(A40-36089)/1000)</f>
        <v>0.2137848630790446</v>
      </c>
      <c r="G40" s="2">
        <f t="shared" si="2"/>
        <v>452.41580294513574</v>
      </c>
      <c r="H40" s="8">
        <f t="shared" si="3"/>
        <v>6.758057245079195E-4</v>
      </c>
      <c r="I40" s="1">
        <f t="shared" si="11"/>
        <v>0.2843247132829253</v>
      </c>
      <c r="J40" s="1">
        <f t="shared" ref="J40:J63" si="34">SQRT(I40)</f>
        <v>0.53322107355479242</v>
      </c>
      <c r="K40" s="7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8">
        <f t="shared" si="13"/>
        <v>4.3935359192314111E-4</v>
      </c>
    </row>
    <row r="41" spans="1:15" x14ac:dyDescent="0.35">
      <c r="A41" s="10">
        <v>38000</v>
      </c>
      <c r="B41" s="7">
        <f t="shared" si="0"/>
        <v>-69.680000000000007</v>
      </c>
      <c r="C41" s="7">
        <v>389.99</v>
      </c>
      <c r="D41" s="7">
        <f t="shared" si="1"/>
        <v>-56.488888888888894</v>
      </c>
      <c r="E41" s="1">
        <f t="shared" si="9"/>
        <v>0.75190390807257035</v>
      </c>
      <c r="F41" s="1">
        <f t="shared" si="33"/>
        <v>0.20374520062755289</v>
      </c>
      <c r="G41" s="2">
        <f t="shared" si="2"/>
        <v>431.16966847203992</v>
      </c>
      <c r="H41" s="8">
        <f t="shared" si="3"/>
        <v>6.440688594224963E-4</v>
      </c>
      <c r="I41" s="1">
        <f t="shared" si="11"/>
        <v>0.27097239213695951</v>
      </c>
      <c r="J41" s="1">
        <f t="shared" si="34"/>
        <v>0.52055008609831144</v>
      </c>
      <c r="K41" s="7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8">
        <f t="shared" si="13"/>
        <v>4.6100299395161894E-4</v>
      </c>
    </row>
    <row r="42" spans="1:15" x14ac:dyDescent="0.35">
      <c r="A42" s="10">
        <v>39000</v>
      </c>
      <c r="B42" s="7">
        <f t="shared" si="0"/>
        <v>-69.680000000000007</v>
      </c>
      <c r="C42" s="7">
        <v>389.99</v>
      </c>
      <c r="D42" s="7">
        <f t="shared" si="1"/>
        <v>-56.488888888888894</v>
      </c>
      <c r="E42" s="1">
        <f t="shared" si="9"/>
        <v>0.75190390807257035</v>
      </c>
      <c r="F42" s="1">
        <f t="shared" si="33"/>
        <v>0.19417701600048798</v>
      </c>
      <c r="G42" s="2">
        <f t="shared" si="2"/>
        <v>410.92128480055266</v>
      </c>
      <c r="H42" s="8">
        <f t="shared" si="3"/>
        <v>6.1382240581025756E-4</v>
      </c>
      <c r="I42" s="1">
        <f t="shared" si="11"/>
        <v>0.25824711630804142</v>
      </c>
      <c r="J42" s="1">
        <f t="shared" si="34"/>
        <v>0.50818020062576363</v>
      </c>
      <c r="K42" s="7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8">
        <f t="shared" si="13"/>
        <v>4.8371918277052476E-4</v>
      </c>
    </row>
    <row r="43" spans="1:15" x14ac:dyDescent="0.35">
      <c r="A43" s="10">
        <v>40000</v>
      </c>
      <c r="B43" s="7">
        <f t="shared" si="0"/>
        <v>-69.680000000000007</v>
      </c>
      <c r="C43" s="7">
        <v>389.99</v>
      </c>
      <c r="D43" s="7">
        <f t="shared" si="1"/>
        <v>-56.488888888888894</v>
      </c>
      <c r="E43" s="1">
        <f t="shared" si="9"/>
        <v>0.75190390807257035</v>
      </c>
      <c r="F43" s="1">
        <f t="shared" si="33"/>
        <v>0.18505816788184448</v>
      </c>
      <c r="G43" s="2">
        <f t="shared" si="2"/>
        <v>391.62379603491689</v>
      </c>
      <c r="H43" s="8">
        <f t="shared" si="3"/>
        <v>5.849963716807083E-4</v>
      </c>
      <c r="I43" s="1">
        <f t="shared" si="11"/>
        <v>0.24611943879401077</v>
      </c>
      <c r="J43" s="1">
        <f t="shared" si="34"/>
        <v>0.49610426201959884</v>
      </c>
      <c r="K43" s="7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8">
        <f t="shared" si="13"/>
        <v>5.075547249151712E-4</v>
      </c>
    </row>
    <row r="44" spans="1:15" x14ac:dyDescent="0.35">
      <c r="A44" s="10">
        <v>41000</v>
      </c>
      <c r="B44" s="7">
        <f t="shared" si="0"/>
        <v>-69.680000000000007</v>
      </c>
      <c r="C44" s="7">
        <v>389.99</v>
      </c>
      <c r="D44" s="7">
        <f t="shared" si="1"/>
        <v>-56.488888888888894</v>
      </c>
      <c r="E44" s="1">
        <f t="shared" si="9"/>
        <v>0.75190390807257035</v>
      </c>
      <c r="F44" s="1">
        <f t="shared" si="33"/>
        <v>0.17636755474550533</v>
      </c>
      <c r="G44" s="2">
        <f t="shared" si="2"/>
        <v>373.23254670353327</v>
      </c>
      <c r="H44" s="8">
        <f t="shared" si="3"/>
        <v>5.5752405197372241E-4</v>
      </c>
      <c r="I44" s="1">
        <f t="shared" si="11"/>
        <v>0.23456129546873314</v>
      </c>
      <c r="J44" s="1">
        <f t="shared" si="34"/>
        <v>0.48431528519006412</v>
      </c>
      <c r="K44" s="7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8">
        <f t="shared" si="13"/>
        <v>5.3256477716726329E-4</v>
      </c>
    </row>
    <row r="45" spans="1:15" x14ac:dyDescent="0.35">
      <c r="A45" s="10">
        <v>42000</v>
      </c>
      <c r="B45" s="7">
        <f t="shared" si="0"/>
        <v>-69.680000000000007</v>
      </c>
      <c r="C45" s="7">
        <v>389.99</v>
      </c>
      <c r="D45" s="7">
        <f t="shared" si="1"/>
        <v>-56.488888888888894</v>
      </c>
      <c r="E45" s="1">
        <f t="shared" si="9"/>
        <v>0.75190390807257035</v>
      </c>
      <c r="F45" s="1">
        <f t="shared" si="33"/>
        <v>0.16808506602512682</v>
      </c>
      <c r="G45" s="2">
        <f t="shared" si="2"/>
        <v>355.70497842369383</v>
      </c>
      <c r="H45" s="8">
        <f t="shared" si="3"/>
        <v>5.3134187420029186E-4</v>
      </c>
      <c r="I45" s="1">
        <f t="shared" si="11"/>
        <v>0.22354594014013826</v>
      </c>
      <c r="J45" s="1">
        <f t="shared" si="34"/>
        <v>0.47280645103481644</v>
      </c>
      <c r="K45" s="7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8">
        <f t="shared" si="13"/>
        <v>5.5880721419078406E-4</v>
      </c>
    </row>
    <row r="46" spans="1:15" x14ac:dyDescent="0.35">
      <c r="A46" s="10">
        <v>43000</v>
      </c>
      <c r="B46" s="7">
        <f t="shared" si="0"/>
        <v>-69.680000000000007</v>
      </c>
      <c r="C46" s="7">
        <v>389.99</v>
      </c>
      <c r="D46" s="7">
        <f t="shared" si="1"/>
        <v>-56.488888888888894</v>
      </c>
      <c r="E46" s="1">
        <f t="shared" si="9"/>
        <v>0.75190390807257035</v>
      </c>
      <c r="F46" s="1">
        <f t="shared" si="33"/>
        <v>0.16019153557715946</v>
      </c>
      <c r="G46" s="2">
        <f t="shared" si="2"/>
        <v>339.00053141909638</v>
      </c>
      <c r="H46" s="8">
        <f t="shared" si="3"/>
        <v>5.0638925133221935E-4</v>
      </c>
      <c r="I46" s="1">
        <f t="shared" si="11"/>
        <v>0.2130478826580304</v>
      </c>
      <c r="J46" s="1">
        <f t="shared" si="34"/>
        <v>0.46157110249454569</v>
      </c>
      <c r="K46" s="7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8">
        <f t="shared" si="13"/>
        <v>5.8634276245721651E-4</v>
      </c>
    </row>
    <row r="47" spans="1:15" x14ac:dyDescent="0.35">
      <c r="A47" s="10">
        <v>44000</v>
      </c>
      <c r="B47" s="7">
        <f t="shared" si="0"/>
        <v>-69.680000000000007</v>
      </c>
      <c r="C47" s="7">
        <v>389.99</v>
      </c>
      <c r="D47" s="7">
        <f t="shared" si="1"/>
        <v>-56.488888888888894</v>
      </c>
      <c r="E47" s="1">
        <f t="shared" si="9"/>
        <v>0.75190390807257035</v>
      </c>
      <c r="F47" s="1">
        <f t="shared" si="33"/>
        <v>0.15266869732931695</v>
      </c>
      <c r="G47" s="2">
        <f t="shared" si="2"/>
        <v>323.08055066224711</v>
      </c>
      <c r="H47" s="8">
        <f t="shared" si="3"/>
        <v>4.8260844160033788E-4</v>
      </c>
      <c r="I47" s="1">
        <f t="shared" si="11"/>
        <v>0.20304282992845152</v>
      </c>
      <c r="J47" s="1">
        <f t="shared" si="34"/>
        <v>0.45060274070233031</v>
      </c>
      <c r="K47" s="7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8">
        <f t="shared" si="13"/>
        <v>6.1523514077000199E-4</v>
      </c>
    </row>
    <row r="48" spans="1:15" x14ac:dyDescent="0.35">
      <c r="A48" s="10">
        <v>45000</v>
      </c>
      <c r="B48" s="7">
        <f t="shared" si="0"/>
        <v>-69.680000000000007</v>
      </c>
      <c r="C48" s="7">
        <v>389.99</v>
      </c>
      <c r="D48" s="7">
        <f t="shared" si="1"/>
        <v>-56.488888888888894</v>
      </c>
      <c r="E48" s="1">
        <f t="shared" si="9"/>
        <v>0.75190390807257035</v>
      </c>
      <c r="F48" s="1">
        <f t="shared" si="33"/>
        <v>0.14549914301186007</v>
      </c>
      <c r="G48" s="2">
        <f t="shared" si="2"/>
        <v>307.90819642455847</v>
      </c>
      <c r="H48" s="8">
        <f t="shared" si="3"/>
        <v>4.5994441487681644E-4</v>
      </c>
      <c r="I48" s="1">
        <f t="shared" si="11"/>
        <v>0.19350762969809854</v>
      </c>
      <c r="J48" s="1">
        <f t="shared" si="34"/>
        <v>0.43989502122449459</v>
      </c>
      <c r="K48" s="7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8">
        <f t="shared" si="13"/>
        <v>6.4555120771342866E-4</v>
      </c>
    </row>
    <row r="49" spans="1:15" x14ac:dyDescent="0.35">
      <c r="A49" s="10">
        <v>46000</v>
      </c>
      <c r="B49" s="7">
        <f t="shared" si="0"/>
        <v>-69.680000000000007</v>
      </c>
      <c r="C49" s="7">
        <v>389.99</v>
      </c>
      <c r="D49" s="7">
        <f t="shared" si="1"/>
        <v>-56.488888888888894</v>
      </c>
      <c r="E49" s="1">
        <f t="shared" si="9"/>
        <v>0.75190390807257035</v>
      </c>
      <c r="F49" s="1">
        <f t="shared" si="33"/>
        <v>0.13866628187388372</v>
      </c>
      <c r="G49" s="2">
        <f t="shared" si="2"/>
        <v>293.44835902715016</v>
      </c>
      <c r="H49" s="8">
        <f t="shared" si="3"/>
        <v>4.3834472533235707E-4</v>
      </c>
      <c r="I49" s="1">
        <f t="shared" si="11"/>
        <v>0.18442021697871036</v>
      </c>
      <c r="J49" s="1">
        <f t="shared" si="34"/>
        <v>0.42944175039079557</v>
      </c>
      <c r="K49" s="7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8">
        <f t="shared" si="13"/>
        <v>6.7736111636714554E-4</v>
      </c>
    </row>
    <row r="50" spans="1:15" x14ac:dyDescent="0.35">
      <c r="A50" s="10">
        <v>47000</v>
      </c>
      <c r="B50" s="7">
        <f t="shared" si="0"/>
        <v>-69.680000000000007</v>
      </c>
      <c r="C50" s="7">
        <v>389.99</v>
      </c>
      <c r="D50" s="7">
        <f t="shared" si="1"/>
        <v>-56.488888888888894</v>
      </c>
      <c r="E50" s="1">
        <f t="shared" si="9"/>
        <v>0.75190390807257035</v>
      </c>
      <c r="F50" s="1">
        <f t="shared" si="33"/>
        <v>0.13215430229138886</v>
      </c>
      <c r="G50" s="2">
        <f t="shared" si="2"/>
        <v>279.66757759508289</v>
      </c>
      <c r="H50" s="8">
        <f t="shared" si="3"/>
        <v>4.1775939007360419E-4</v>
      </c>
      <c r="I50" s="1">
        <f t="shared" si="11"/>
        <v>0.17575956298744749</v>
      </c>
      <c r="J50" s="1">
        <f t="shared" si="34"/>
        <v>0.41923688171181633</v>
      </c>
      <c r="K50" s="7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8">
        <f t="shared" si="13"/>
        <v>7.1073847664432355E-4</v>
      </c>
    </row>
    <row r="51" spans="1:15" x14ac:dyDescent="0.35">
      <c r="A51" s="10">
        <v>48000</v>
      </c>
      <c r="B51" s="7">
        <f t="shared" si="0"/>
        <v>-69.680000000000007</v>
      </c>
      <c r="C51" s="7">
        <v>389.99</v>
      </c>
      <c r="D51" s="7">
        <f t="shared" si="1"/>
        <v>-56.488888888888894</v>
      </c>
      <c r="E51" s="1">
        <f t="shared" si="9"/>
        <v>0.75190390807257035</v>
      </c>
      <c r="F51" s="1">
        <f t="shared" si="33"/>
        <v>0.12594813517829737</v>
      </c>
      <c r="G51" s="2">
        <f t="shared" si="2"/>
        <v>266.53396262701642</v>
      </c>
      <c r="H51" s="8">
        <f t="shared" si="3"/>
        <v>3.9814077347992481E-4</v>
      </c>
      <c r="I51" s="1">
        <f t="shared" si="11"/>
        <v>0.16750562648510856</v>
      </c>
      <c r="J51" s="1">
        <f t="shared" si="34"/>
        <v>0.40927451238149259</v>
      </c>
      <c r="K51" s="7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8">
        <f t="shared" si="13"/>
        <v>7.4576052562912512E-4</v>
      </c>
    </row>
    <row r="52" spans="1:15" x14ac:dyDescent="0.35">
      <c r="A52" s="10">
        <v>49000</v>
      </c>
      <c r="B52" s="7">
        <f t="shared" si="0"/>
        <v>-69.680000000000007</v>
      </c>
      <c r="C52" s="7">
        <v>389.99</v>
      </c>
      <c r="D52" s="7">
        <f t="shared" si="1"/>
        <v>-56.488888888888894</v>
      </c>
      <c r="E52" s="1">
        <f t="shared" si="9"/>
        <v>0.75190390807257035</v>
      </c>
      <c r="F52" s="1">
        <f t="shared" si="33"/>
        <v>0.12003341911574136</v>
      </c>
      <c r="G52" s="2">
        <f t="shared" si="2"/>
        <v>254.01712220111418</v>
      </c>
      <c r="H52" s="8">
        <f t="shared" si="3"/>
        <v>3.7944347697190981E-4</v>
      </c>
      <c r="I52" s="1">
        <f t="shared" si="11"/>
        <v>0.15963930739957835</v>
      </c>
      <c r="J52" s="1">
        <f t="shared" si="34"/>
        <v>0.39954887986275017</v>
      </c>
      <c r="K52" s="7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8">
        <f t="shared" si="13"/>
        <v>7.8250830630765059E-4</v>
      </c>
    </row>
    <row r="53" spans="1:15" x14ac:dyDescent="0.35">
      <c r="A53" s="10">
        <v>50000</v>
      </c>
      <c r="B53" s="7">
        <f t="shared" si="0"/>
        <v>-69.680000000000007</v>
      </c>
      <c r="C53" s="7">
        <v>389.99</v>
      </c>
      <c r="D53" s="7">
        <f t="shared" si="1"/>
        <v>-56.488888888888894</v>
      </c>
      <c r="E53" s="1">
        <f t="shared" si="9"/>
        <v>0.75190390807257035</v>
      </c>
      <c r="F53" s="1">
        <f t="shared" si="33"/>
        <v>0.11439646711893463</v>
      </c>
      <c r="G53" s="2">
        <f t="shared" si="2"/>
        <v>242.08809164643182</v>
      </c>
      <c r="H53" s="8">
        <f t="shared" si="3"/>
        <v>3.616242339565153E-4</v>
      </c>
      <c r="I53" s="1">
        <f t="shared" si="11"/>
        <v>0.15214240262718998</v>
      </c>
      <c r="J53" s="1">
        <f t="shared" si="34"/>
        <v>0.39005435855427889</v>
      </c>
      <c r="K53" s="7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8">
        <f t="shared" si="13"/>
        <v>8.2106685510595237E-4</v>
      </c>
    </row>
    <row r="54" spans="1:15" x14ac:dyDescent="0.35">
      <c r="A54" s="10">
        <v>51000</v>
      </c>
      <c r="B54" s="7">
        <f t="shared" si="0"/>
        <v>-69.680000000000007</v>
      </c>
      <c r="C54" s="7">
        <v>389.99</v>
      </c>
      <c r="D54" s="7">
        <f t="shared" si="1"/>
        <v>-56.488888888888894</v>
      </c>
      <c r="E54" s="1">
        <f t="shared" si="9"/>
        <v>0.75190390807257035</v>
      </c>
      <c r="F54" s="1">
        <f t="shared" si="33"/>
        <v>0.10902423496472159</v>
      </c>
      <c r="G54" s="2">
        <f t="shared" si="2"/>
        <v>230.71926651704311</v>
      </c>
      <c r="H54" s="8">
        <f t="shared" si="3"/>
        <v>3.4464180970573797E-4</v>
      </c>
      <c r="I54" s="1">
        <f t="shared" si="11"/>
        <v>0.14499756390972113</v>
      </c>
      <c r="J54" s="1">
        <f t="shared" si="34"/>
        <v>0.38078545653651363</v>
      </c>
      <c r="K54" s="7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8">
        <f t="shared" si="13"/>
        <v>8.6152539866909755E-4</v>
      </c>
    </row>
    <row r="55" spans="1:15" x14ac:dyDescent="0.35">
      <c r="A55" s="10">
        <v>52000</v>
      </c>
      <c r="B55" s="7">
        <f t="shared" si="0"/>
        <v>-69.680000000000007</v>
      </c>
      <c r="C55" s="7">
        <v>389.99</v>
      </c>
      <c r="D55" s="7">
        <f t="shared" si="1"/>
        <v>-56.488888888888894</v>
      </c>
      <c r="E55" s="1">
        <f t="shared" si="9"/>
        <v>0.75190390807257035</v>
      </c>
      <c r="F55" s="1">
        <f t="shared" si="33"/>
        <v>0.10390429100651337</v>
      </c>
      <c r="G55" s="2">
        <f t="shared" si="2"/>
        <v>219.88433871380371</v>
      </c>
      <c r="H55" s="8">
        <f t="shared" si="3"/>
        <v>3.2845690593714174E-4</v>
      </c>
      <c r="I55" s="1">
        <f t="shared" si="11"/>
        <v>0.13818825768955173</v>
      </c>
      <c r="J55" s="1">
        <f t="shared" si="34"/>
        <v>0.37173681239494122</v>
      </c>
      <c r="K55" s="7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8">
        <f t="shared" si="13"/>
        <v>9.0397756033662945E-4</v>
      </c>
    </row>
    <row r="56" spans="1:15" x14ac:dyDescent="0.35">
      <c r="A56" s="10">
        <v>53000</v>
      </c>
      <c r="B56" s="7">
        <f t="shared" si="0"/>
        <v>-69.680000000000007</v>
      </c>
      <c r="C56" s="7">
        <v>389.99</v>
      </c>
      <c r="D56" s="7">
        <f t="shared" si="1"/>
        <v>-56.488888888888894</v>
      </c>
      <c r="E56" s="1">
        <f t="shared" si="9"/>
        <v>0.75190390807257035</v>
      </c>
      <c r="F56" s="1">
        <f t="shared" si="33"/>
        <v>9.9024787406760087E-2</v>
      </c>
      <c r="G56" s="2">
        <f t="shared" si="2"/>
        <v>209.55823560593382</v>
      </c>
      <c r="H56" s="8">
        <f t="shared" si="3"/>
        <v>3.1303206987542758E-4</v>
      </c>
      <c r="I56" s="1">
        <f t="shared" si="11"/>
        <v>0.13169872685008396</v>
      </c>
      <c r="J56" s="1">
        <f t="shared" si="34"/>
        <v>0.36290319211889549</v>
      </c>
      <c r="K56" s="7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8">
        <f t="shared" si="13"/>
        <v>9.4852157679222696E-4</v>
      </c>
    </row>
    <row r="57" spans="1:15" x14ac:dyDescent="0.35">
      <c r="A57" s="10">
        <v>54000</v>
      </c>
      <c r="B57" s="7">
        <f t="shared" si="0"/>
        <v>-69.680000000000007</v>
      </c>
      <c r="C57" s="7">
        <v>389.99</v>
      </c>
      <c r="D57" s="7">
        <f t="shared" si="1"/>
        <v>-56.488888888888894</v>
      </c>
      <c r="E57" s="1">
        <f t="shared" si="9"/>
        <v>0.75190390807257035</v>
      </c>
      <c r="F57" s="1">
        <f t="shared" si="33"/>
        <v>9.4374432720390103E-2</v>
      </c>
      <c r="G57" s="2">
        <f t="shared" si="2"/>
        <v>199.71706201154393</v>
      </c>
      <c r="H57" s="8">
        <f t="shared" si="3"/>
        <v>2.9833160758461011E-4</v>
      </c>
      <c r="I57" s="1">
        <f t="shared" si="11"/>
        <v>0.12551395425289039</v>
      </c>
      <c r="J57" s="1">
        <f t="shared" si="34"/>
        <v>0.3542794860740463</v>
      </c>
      <c r="K57" s="7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8">
        <f t="shared" si="13"/>
        <v>9.9526052538890337E-4</v>
      </c>
    </row>
    <row r="58" spans="1:15" x14ac:dyDescent="0.35">
      <c r="A58" s="10">
        <v>55000</v>
      </c>
      <c r="B58" s="7">
        <f t="shared" si="0"/>
        <v>-69.680000000000007</v>
      </c>
      <c r="C58" s="7">
        <v>389.99</v>
      </c>
      <c r="D58" s="7">
        <f t="shared" si="1"/>
        <v>-56.488888888888894</v>
      </c>
      <c r="E58" s="1">
        <f t="shared" si="9"/>
        <v>0.75190390807257035</v>
      </c>
      <c r="F58" s="1">
        <f t="shared" si="33"/>
        <v>8.9942465765772708E-2</v>
      </c>
      <c r="G58" s="2">
        <f t="shared" si="2"/>
        <v>190.33804490284351</v>
      </c>
      <c r="H58" s="8">
        <f t="shared" si="3"/>
        <v>2.843215013702476E-4</v>
      </c>
      <c r="I58" s="1">
        <f t="shared" si="11"/>
        <v>0.11961962798721332</v>
      </c>
      <c r="J58" s="1">
        <f t="shared" si="34"/>
        <v>0.34586070604683228</v>
      </c>
      <c r="K58" s="7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8">
        <f t="shared" si="13"/>
        <v>1.0443025626757812E-3</v>
      </c>
    </row>
    <row r="59" spans="1:15" x14ac:dyDescent="0.35">
      <c r="A59" s="10">
        <v>56000</v>
      </c>
      <c r="B59" s="7">
        <f t="shared" si="0"/>
        <v>-69.680000000000007</v>
      </c>
      <c r="C59" s="7">
        <v>389.99</v>
      </c>
      <c r="D59" s="7">
        <f t="shared" si="1"/>
        <v>-56.488888888888894</v>
      </c>
      <c r="E59" s="1">
        <f t="shared" si="9"/>
        <v>0.75190390807257035</v>
      </c>
      <c r="F59" s="1">
        <f t="shared" si="33"/>
        <v>8.5718630722740052E-2</v>
      </c>
      <c r="G59" s="2">
        <f t="shared" si="2"/>
        <v>181.39948070807694</v>
      </c>
      <c r="H59" s="8">
        <f t="shared" si="3"/>
        <v>2.7096933106058815E-4</v>
      </c>
      <c r="I59" s="1">
        <f t="shared" si="11"/>
        <v>0.11400210825140022</v>
      </c>
      <c r="J59" s="1">
        <f t="shared" si="34"/>
        <v>0.33764198235912579</v>
      </c>
      <c r="K59" s="7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8">
        <f t="shared" si="13"/>
        <v>1.095761174678418E-3</v>
      </c>
    </row>
    <row r="60" spans="1:15" x14ac:dyDescent="0.35">
      <c r="A60" s="10">
        <v>57000</v>
      </c>
      <c r="B60" s="7">
        <f t="shared" si="0"/>
        <v>-69.680000000000007</v>
      </c>
      <c r="C60" s="7">
        <v>389.99</v>
      </c>
      <c r="D60" s="7">
        <f t="shared" si="1"/>
        <v>-56.488888888888894</v>
      </c>
      <c r="E60" s="1">
        <f t="shared" si="9"/>
        <v>0.75190390807257035</v>
      </c>
      <c r="F60" s="1">
        <f t="shared" si="33"/>
        <v>8.1693153400043989E-2</v>
      </c>
      <c r="G60" s="2">
        <f t="shared" si="2"/>
        <v>172.88068508824108</v>
      </c>
      <c r="H60" s="8">
        <f t="shared" si="3"/>
        <v>2.5824419898447411E-4</v>
      </c>
      <c r="I60" s="1">
        <f t="shared" si="11"/>
        <v>0.10864839578963771</v>
      </c>
      <c r="J60" s="1">
        <f t="shared" si="34"/>
        <v>0.32961856105146403</v>
      </c>
      <c r="K60" s="7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8">
        <f t="shared" si="13"/>
        <v>1.1497554395118324E-3</v>
      </c>
    </row>
    <row r="61" spans="1:15" x14ac:dyDescent="0.35">
      <c r="A61" s="10">
        <v>58000</v>
      </c>
      <c r="B61" s="7">
        <f t="shared" si="0"/>
        <v>-69.680000000000007</v>
      </c>
      <c r="C61" s="7">
        <v>389.99</v>
      </c>
      <c r="D61" s="7">
        <f t="shared" si="1"/>
        <v>-56.488888888888894</v>
      </c>
      <c r="E61" s="1">
        <f t="shared" si="9"/>
        <v>0.75190390807257035</v>
      </c>
      <c r="F61" s="1">
        <f t="shared" si="33"/>
        <v>7.7856718617329151E-2</v>
      </c>
      <c r="G61" s="2">
        <f t="shared" si="2"/>
        <v>164.76194507236428</v>
      </c>
      <c r="H61" s="8">
        <f t="shared" si="3"/>
        <v>2.4611665847239689E-4</v>
      </c>
      <c r="I61" s="1">
        <f t="shared" si="11"/>
        <v>0.10354610181094413</v>
      </c>
      <c r="J61" s="1">
        <f t="shared" si="34"/>
        <v>0.32178580113321364</v>
      </c>
      <c r="K61" s="7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8">
        <f t="shared" si="13"/>
        <v>1.2064103029339472E-3</v>
      </c>
    </row>
    <row r="62" spans="1:15" x14ac:dyDescent="0.35">
      <c r="A62" s="10">
        <v>59000</v>
      </c>
      <c r="B62" s="7">
        <f t="shared" si="0"/>
        <v>-69.680000000000007</v>
      </c>
      <c r="C62" s="7">
        <v>389.99</v>
      </c>
      <c r="D62" s="7">
        <f t="shared" si="1"/>
        <v>-56.488888888888894</v>
      </c>
      <c r="E62" s="1">
        <f t="shared" si="9"/>
        <v>0.75190390807257035</v>
      </c>
      <c r="F62" s="1">
        <f t="shared" si="33"/>
        <v>7.420044864928306E-2</v>
      </c>
      <c r="G62" s="2">
        <f t="shared" si="2"/>
        <v>157.02447344058578</v>
      </c>
      <c r="H62" s="8">
        <f t="shared" si="3"/>
        <v>2.3455864571525264E-4</v>
      </c>
      <c r="I62" s="1">
        <f t="shared" si="11"/>
        <v>9.8683419320812427E-2</v>
      </c>
      <c r="J62" s="1">
        <f t="shared" si="34"/>
        <v>0.31413917189808155</v>
      </c>
      <c r="K62" s="7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8">
        <f t="shared" si="13"/>
        <v>1.2658568674770768E-3</v>
      </c>
    </row>
    <row r="63" spans="1:15" x14ac:dyDescent="0.35">
      <c r="A63" s="10">
        <v>60000</v>
      </c>
      <c r="B63" s="7">
        <f t="shared" si="0"/>
        <v>-69.680000000000007</v>
      </c>
      <c r="C63" s="7">
        <v>389.99</v>
      </c>
      <c r="D63" s="7">
        <f t="shared" si="1"/>
        <v>-56.488888888888894</v>
      </c>
      <c r="E63" s="1">
        <f t="shared" si="9"/>
        <v>0.75190390807257035</v>
      </c>
      <c r="F63" s="1">
        <f t="shared" si="33"/>
        <v>7.071588268208169E-2</v>
      </c>
      <c r="G63" s="2">
        <f t="shared" si="2"/>
        <v>149.6503652494749</v>
      </c>
      <c r="H63" s="8">
        <f t="shared" si="3"/>
        <v>2.2354341482311288E-4</v>
      </c>
      <c r="I63" s="1">
        <f t="shared" si="11"/>
        <v>9.4049095799162291E-2</v>
      </c>
      <c r="J63" s="1">
        <f t="shared" si="34"/>
        <v>0.30667425030341605</v>
      </c>
      <c r="K63" s="7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8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2797-868D-4E3F-807B-D06E2A435E28}">
  <dimension ref="A1:D16"/>
  <sheetViews>
    <sheetView tabSelected="1" workbookViewId="0">
      <selection activeCell="B11" sqref="B11"/>
    </sheetView>
  </sheetViews>
  <sheetFormatPr defaultRowHeight="14.5" x14ac:dyDescent="0.35"/>
  <cols>
    <col min="2" max="2" width="15.7265625" customWidth="1"/>
  </cols>
  <sheetData>
    <row r="1" spans="1:4" x14ac:dyDescent="0.35">
      <c r="B1" t="s">
        <v>22</v>
      </c>
    </row>
    <row r="2" spans="1:4" x14ac:dyDescent="0.35">
      <c r="A2">
        <v>1</v>
      </c>
      <c r="B2" cm="1">
        <f t="array" ref="B2">Linterp(5500,atmos_h,atmos_rho)</f>
        <v>2.0174032707016036E-3</v>
      </c>
    </row>
    <row r="4" spans="1:4" x14ac:dyDescent="0.35">
      <c r="B4" t="s">
        <v>23</v>
      </c>
    </row>
    <row r="5" spans="1:4" x14ac:dyDescent="0.35">
      <c r="A5">
        <v>3</v>
      </c>
      <c r="B5" cm="1">
        <f t="array" ref="B5">Linterp(30000,atmos_h,atmos_aspeed)</f>
        <v>994.66966350329255</v>
      </c>
    </row>
    <row r="6" spans="1:4" x14ac:dyDescent="0.35">
      <c r="B6" t="s">
        <v>23</v>
      </c>
    </row>
    <row r="7" spans="1:4" x14ac:dyDescent="0.35">
      <c r="A7">
        <v>5</v>
      </c>
      <c r="B7" cm="1">
        <f t="array" ref="B7">Linterp(15000,atmos_h,atmos_aspeed)</f>
        <v>1057.3146036052262</v>
      </c>
    </row>
    <row r="8" spans="1:4" x14ac:dyDescent="0.35">
      <c r="B8" t="s">
        <v>22</v>
      </c>
      <c r="C8" t="s">
        <v>23</v>
      </c>
    </row>
    <row r="9" spans="1:4" x14ac:dyDescent="0.35">
      <c r="A9">
        <v>6</v>
      </c>
      <c r="B9" cm="1">
        <f t="array" ref="B9">Linterp(5000,atmos_h, atmos_rho)</f>
        <v>2.0480782525775574E-3</v>
      </c>
      <c r="C9" cm="1">
        <f t="array" ref="C9">Linterp(5000,atmos_h, atmos_aspeed)</f>
        <v>1097.0924263702484</v>
      </c>
    </row>
    <row r="10" spans="1:4" x14ac:dyDescent="0.35">
      <c r="B10" t="s">
        <v>24</v>
      </c>
    </row>
    <row r="11" spans="1:4" x14ac:dyDescent="0.35">
      <c r="A11">
        <v>8</v>
      </c>
      <c r="B11" cm="1">
        <f t="array" ref="B11">Linterp(10000,atmos_h,atmos_dr)</f>
        <v>0.73847266492600905</v>
      </c>
    </row>
    <row r="12" spans="1:4" x14ac:dyDescent="0.35">
      <c r="B12" t="s">
        <v>21</v>
      </c>
      <c r="C12" t="s">
        <v>20</v>
      </c>
    </row>
    <row r="13" spans="1:4" x14ac:dyDescent="0.35">
      <c r="A13">
        <v>9</v>
      </c>
      <c r="B13" cm="1">
        <f t="array" ref="B13">Linterp(5000,atmos_h,atmos_qms)</f>
        <v>1232.6219176827112</v>
      </c>
      <c r="C13">
        <v>0.7</v>
      </c>
      <c r="D13">
        <f>C13*C13*B13</f>
        <v>603.98473966452843</v>
      </c>
    </row>
    <row r="15" spans="1:4" x14ac:dyDescent="0.35">
      <c r="A15">
        <v>10</v>
      </c>
      <c r="B15" t="s">
        <v>22</v>
      </c>
    </row>
    <row r="16" spans="1:4" x14ac:dyDescent="0.35">
      <c r="B16" cm="1">
        <f t="array" ref="B16">Linterp(4000,atmos_h,atmos_rho)</f>
        <v>2.1108671789392482E-3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Atmospheric Table</vt:lpstr>
      <vt:lpstr>Sheet1</vt:lpstr>
      <vt:lpstr>atmos_aspeed</vt:lpstr>
      <vt:lpstr>atmos_dr</vt:lpstr>
      <vt:lpstr>atmos_h</vt:lpstr>
      <vt:lpstr>atmos_p</vt:lpstr>
      <vt:lpstr>atmos_qms</vt:lpstr>
      <vt:lpstr>atmos_rho</vt:lpstr>
      <vt:lpstr>atmos_sqrtdr</vt:lpstr>
      <vt:lpstr>atmos_vela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2023-03-09T21:43:33Z</dcterms:modified>
</cp:coreProperties>
</file>