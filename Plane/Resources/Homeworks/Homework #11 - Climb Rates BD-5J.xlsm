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ailuc-my.sharepoint.com/personal/marti2bc_mail_uc_edu/Documents/Spring 2023/Aircraft Performance and Design/Assignments/"/>
    </mc:Choice>
  </mc:AlternateContent>
  <xr:revisionPtr revIDLastSave="532" documentId="8_{E766108D-918E-49DE-A67A-C191FADBFD03}" xr6:coauthVersionLast="47" xr6:coauthVersionMax="47" xr10:uidLastSave="{0D98E398-EBA7-4F69-84A7-D7CC8F18AFFE}"/>
  <bookViews>
    <workbookView xWindow="-110" yWindow="-110" windowWidth="25820" windowHeight="13900" tabRatio="702" firstSheet="8" activeTab="9" xr2:uid="{00000000-000D-0000-FFFF-FFFF00000000}"/>
  </bookViews>
  <sheets>
    <sheet name="Table Key" sheetId="61" r:id="rId1"/>
    <sheet name="Atmospheric Table" sheetId="62" r:id="rId2"/>
    <sheet name="BD-5J Details" sheetId="68" r:id="rId3"/>
    <sheet name="HW#7 Calculations" sheetId="69" r:id="rId4"/>
    <sheet name="HW#8 Calculations" sheetId="72" r:id="rId5"/>
    <sheet name="HW#9 Calculations" sheetId="78" r:id="rId6"/>
    <sheet name="HW#10 Calculations" sheetId="79" r:id="rId7"/>
    <sheet name="HW#11 Calculations" sheetId="82" r:id="rId8"/>
    <sheet name="11.c) Climb Rate vs Mach Number" sheetId="83" r:id="rId9"/>
    <sheet name="11.d) Descend Rate vs Mach" sheetId="84" r:id="rId10"/>
    <sheet name="11.e) Ceiling Table" sheetId="85" r:id="rId11"/>
  </sheets>
  <functionGroups builtInGroupCount="19"/>
  <definedNames>
    <definedName name="atmos_aspeed">'Atmospheric Table'!$M$2:$M$63</definedName>
    <definedName name="atmos_dr">'Atmospheric Table'!$I$2:$I$63</definedName>
    <definedName name="atmos_h">'Atmospheric Table'!$A$2:$A$63</definedName>
    <definedName name="atmos_qms">'Atmospheric Table'!$K$2:$K$63</definedName>
    <definedName name="atmos_rho">'Atmospheric Table'!$H$2:$H$63</definedName>
    <definedName name="atmos_sqrtdr">'Atmospheric Table'!$J$2:$J$63</definedName>
    <definedName name="atmos_vela">'Atmospheric Table'!$N$2:$N$63</definedName>
    <definedName name="b" comment="Wing Span ">'BD-5J Details'!$D$4</definedName>
    <definedName name="CD0">'BD-5J Details'!$G$14</definedName>
    <definedName name="CL_max" comment="For BD-5J">'BD-5J Details'!$G$10</definedName>
    <definedName name="g">'HW#9 Calculations'!$C$20</definedName>
    <definedName name="K">'BD-5J Details'!$G$15</definedName>
    <definedName name="LD_max">'HW#8 Calculations'!$D$10</definedName>
    <definedName name="max_CL" comment="Max Lift Coefficient no flaps">'BD-5J Details'!$G$10</definedName>
    <definedName name="max_n" comment="Max Load Factor (g's)">'BD-5J Details'!$D$7</definedName>
    <definedName name="min_n" comment="Min Load Factor (g's)">'BD-5J Details'!$D$8</definedName>
    <definedName name="S" comment="Reference/wing  Area ">'BD-5J Details'!$D$5</definedName>
    <definedName name="T_max_SL" comment="Max Thrust at Sea Level (lbs)">'BD-5J Details'!$H$8</definedName>
    <definedName name="V_1">'HW#9 Calculations'!$C$23</definedName>
    <definedName name="V_2">'HW#9 Calculations'!$C$24</definedName>
    <definedName name="vel_10k">'HW#8 Calculations'!$S$5:$S$53</definedName>
    <definedName name="vel_10k_D">'HW#8 Calculations'!$W$5:$W$53</definedName>
    <definedName name="vel_SL">'HW#8 Calculations'!$I$5:$I$53</definedName>
    <definedName name="vel_SL_D" comment="Drag of BD-5J at Sea Level according to Vel">'HW#8 Calculations'!$M$5:$M$53</definedName>
    <definedName name="W" comment="aircraft calc weight">'BD-5J Details'!$H$6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8" i="82" l="1"/>
  <c r="H11" i="82"/>
  <c r="L8" i="82"/>
  <c r="L9" i="82"/>
  <c r="E16" i="82"/>
  <c r="D16" i="82"/>
  <c r="Z48" i="82" a="1"/>
  <c r="Y59" i="82" a="1"/>
  <c r="Z10" i="82" a="1"/>
  <c r="N56" i="82" a="1"/>
  <c r="N57" i="82" a="1"/>
  <c r="Y52" i="82" a="1"/>
  <c r="Y61" i="82" a="1"/>
  <c r="Z47" i="82" a="1"/>
  <c r="Y58" i="82" a="1"/>
  <c r="Z35" i="82" a="1"/>
  <c r="M16" i="82" a="1"/>
  <c r="Y53" i="82" a="1"/>
  <c r="N39" i="82" a="1"/>
  <c r="M65" i="82" a="1"/>
  <c r="Z63" i="82" a="1"/>
  <c r="Z38" i="82" a="1"/>
  <c r="Y54" i="82" a="1"/>
  <c r="Z12" i="82" a="1"/>
  <c r="M52" i="82" a="1"/>
  <c r="N65" i="82" a="1"/>
  <c r="N44" i="82" a="1"/>
  <c r="N53" i="82" a="1"/>
  <c r="Z21" i="82" a="1"/>
  <c r="Y16" i="82" a="1"/>
  <c r="Y42" i="82" a="1"/>
  <c r="Z59" i="82" a="1"/>
  <c r="N29" i="82" a="1"/>
  <c r="N54" i="82" a="1"/>
  <c r="M20" i="82" a="1"/>
  <c r="Y49" i="82" a="1"/>
  <c r="M14" i="82" a="1"/>
  <c r="Z46" i="82" a="1"/>
  <c r="Z17" i="82" a="1"/>
  <c r="N18" i="82" a="1"/>
  <c r="N63" i="82" a="1"/>
  <c r="Y36" i="82" a="1"/>
  <c r="Z15" i="82" a="1"/>
  <c r="N19" i="82" a="1"/>
  <c r="Z45" i="82" a="1"/>
  <c r="N47" i="82" a="1"/>
  <c r="N24" i="82" a="1"/>
  <c r="Y18" i="82" a="1"/>
  <c r="Z50" i="82" a="1"/>
  <c r="Y44" i="82" a="1"/>
  <c r="Y51" i="82" a="1"/>
  <c r="Y28" i="82" a="1"/>
  <c r="Y57" i="82" a="1"/>
  <c r="Z20" i="82" a="1"/>
  <c r="N58" i="82" a="1"/>
  <c r="M9" i="82" a="1"/>
  <c r="M10" i="82" a="1"/>
  <c r="Y26" i="82" a="1"/>
  <c r="M30" i="82" a="1"/>
  <c r="N46" i="82" a="1"/>
  <c r="Z37" i="82" a="1"/>
  <c r="M32" i="82" a="1"/>
  <c r="M12" i="82" a="1"/>
  <c r="M48" i="82" a="1"/>
  <c r="M63" i="82" a="1"/>
  <c r="M25" i="82" a="1"/>
  <c r="N12" i="82" a="1"/>
  <c r="Y45" i="82" a="1"/>
  <c r="Z60" i="82" a="1"/>
  <c r="N25" i="82" a="1"/>
  <c r="Y29" i="82" a="1"/>
  <c r="N15" i="82" a="1"/>
  <c r="Z57" i="82" a="1"/>
  <c r="M37" i="82" a="1"/>
  <c r="Z33" i="82" a="1"/>
  <c r="Z23" i="82" a="1"/>
  <c r="Y41" i="82" a="1"/>
  <c r="M39" i="82" a="1"/>
  <c r="N33" i="82" a="1"/>
  <c r="Z52" i="82" a="1"/>
  <c r="M55" i="82" a="1"/>
  <c r="N10" i="82" a="1"/>
  <c r="N20" i="82" a="1"/>
  <c r="N42" i="82" a="1"/>
  <c r="Z61" i="82" a="1"/>
  <c r="N13" i="82" a="1"/>
  <c r="N64" i="82" a="1"/>
  <c r="M54" i="82" a="1"/>
  <c r="N52" i="82" a="1"/>
  <c r="P5" i="82" a="1"/>
  <c r="Y33" i="82" a="1"/>
  <c r="Z54" i="82" a="1"/>
  <c r="Z42" i="82" a="1"/>
  <c r="N14" i="82" a="1"/>
  <c r="N38" i="82" a="1"/>
  <c r="Y40" i="82" a="1"/>
  <c r="I11" i="82" a="1"/>
  <c r="N32" i="82" a="1"/>
  <c r="Y22" i="82" a="1"/>
  <c r="N43" i="82" a="1"/>
  <c r="Y20" i="82" a="1"/>
  <c r="Z62" i="82" a="1"/>
  <c r="N36" i="82" a="1"/>
  <c r="M19" i="82" a="1"/>
  <c r="Z22" i="82" a="1"/>
  <c r="Y21" i="82" a="1"/>
  <c r="Z53" i="82" a="1"/>
  <c r="Z27" i="82" a="1"/>
  <c r="Y9" i="82" a="1"/>
  <c r="Y25" i="82" a="1"/>
  <c r="M62" i="82" a="1"/>
  <c r="Z40" i="82" a="1"/>
  <c r="Y48" i="82" a="1"/>
  <c r="Y31" i="82" a="1"/>
  <c r="Y30" i="82" a="1"/>
  <c r="Y11" i="82" a="1"/>
  <c r="N16" i="82" a="1"/>
  <c r="M21" i="82" a="1"/>
  <c r="N28" i="82" a="1"/>
  <c r="Y15" i="82" a="1"/>
  <c r="Y19" i="82" a="1"/>
  <c r="Z25" i="82" a="1"/>
  <c r="Y50" i="82" a="1"/>
  <c r="Y24" i="82" a="1"/>
  <c r="M40" i="82" a="1"/>
  <c r="Z55" i="82" a="1"/>
  <c r="N17" i="82" a="1"/>
  <c r="N37" i="82" a="1"/>
  <c r="M64" i="82" a="1"/>
  <c r="Y56" i="82" a="1"/>
  <c r="Y60" i="82" a="1"/>
  <c r="N8" i="82" a="1"/>
  <c r="Z39" i="82" a="1"/>
  <c r="AB5" i="82" a="1"/>
  <c r="M60" i="82" a="1"/>
  <c r="Z30" i="82" a="1"/>
  <c r="M50" i="82" a="1"/>
  <c r="N11" i="82" a="1"/>
  <c r="M11" i="82" a="1"/>
  <c r="N27" i="82" a="1"/>
  <c r="Z34" i="82" a="1"/>
  <c r="Y63" i="82" a="1"/>
  <c r="Z51" i="82" a="1"/>
  <c r="N35" i="82" a="1"/>
  <c r="N55" i="82" a="1"/>
  <c r="Z36" i="82" a="1"/>
  <c r="M15" i="82" a="1"/>
  <c r="M38" i="82" a="1"/>
  <c r="M22" i="82" a="1"/>
  <c r="Y43" i="82" a="1"/>
  <c r="Z18" i="82" a="1"/>
  <c r="M44" i="82" a="1"/>
  <c r="Z13" i="82" a="1"/>
  <c r="Y34" i="82" a="1"/>
  <c r="Z31" i="82" a="1"/>
  <c r="N21" i="82" a="1"/>
  <c r="Z49" i="82" a="1"/>
  <c r="Z29" i="82" a="1"/>
  <c r="N31" i="82" a="1"/>
  <c r="Z43" i="82" a="1"/>
  <c r="Z16" i="82" a="1"/>
  <c r="Y38" i="82" a="1"/>
  <c r="M26" i="82" a="1"/>
  <c r="Y46" i="82" a="1"/>
  <c r="N40" i="82" a="1"/>
  <c r="M28" i="82" a="1"/>
  <c r="N45" i="82" a="1"/>
  <c r="M34" i="82" a="1"/>
  <c r="Y65" i="82" a="1"/>
  <c r="Z41" i="82" a="1"/>
  <c r="Z56" i="82" a="1"/>
  <c r="Y13" i="82" a="1"/>
  <c r="M27" i="82" a="1"/>
  <c r="Y37" i="82" a="1"/>
  <c r="N26" i="82" a="1"/>
  <c r="N30" i="82" a="1"/>
  <c r="M51" i="82" a="1"/>
  <c r="Z8" i="82" a="1"/>
  <c r="Y32" i="82" a="1"/>
  <c r="Y62" i="82" a="1"/>
  <c r="M13" i="82" a="1"/>
  <c r="M58" i="82" a="1"/>
  <c r="M36" i="82" a="1"/>
  <c r="Y27" i="82" a="1"/>
  <c r="Y55" i="82" a="1"/>
  <c r="Z64" i="82" a="1"/>
  <c r="Y23" i="82" a="1"/>
  <c r="M29" i="82" a="1"/>
  <c r="Y39" i="82" a="1"/>
  <c r="N23" i="82" a="1"/>
  <c r="M33" i="82" a="1"/>
  <c r="M61" i="82" a="1"/>
  <c r="Y8" i="82" a="1"/>
  <c r="N50" i="82" a="1"/>
  <c r="M31" i="82" a="1"/>
  <c r="M56" i="82" a="1"/>
  <c r="M46" i="82" a="1"/>
  <c r="M45" i="82" a="1"/>
  <c r="Y64" i="82" a="1"/>
  <c r="N41" i="82" a="1"/>
  <c r="Y10" i="82" a="1"/>
  <c r="M49" i="82" a="1"/>
  <c r="M23" i="82" a="1"/>
  <c r="M24" i="82" a="1"/>
  <c r="N22" i="82" a="1"/>
  <c r="M43" i="82" a="1"/>
  <c r="Z28" i="82" a="1"/>
  <c r="N9" i="82" a="1"/>
  <c r="N48" i="82" a="1"/>
  <c r="Y12" i="82" a="1"/>
  <c r="Z58" i="82" a="1"/>
  <c r="Z26" i="82" a="1"/>
  <c r="M8" i="82" a="1"/>
  <c r="N59" i="82" a="1"/>
  <c r="N49" i="82" a="1"/>
  <c r="Y47" i="82" a="1"/>
  <c r="Z44" i="82" a="1"/>
  <c r="Z65" i="82" a="1"/>
  <c r="Z11" i="82" a="1"/>
  <c r="M35" i="82" a="1"/>
  <c r="M53" i="82" a="1"/>
  <c r="Y17" i="82" a="1"/>
  <c r="N51" i="82" a="1"/>
  <c r="N62" i="82" a="1"/>
  <c r="M42" i="82" a="1"/>
  <c r="Z19" i="82" a="1"/>
  <c r="M59" i="82" a="1"/>
  <c r="M57" i="82" a="1"/>
  <c r="M47" i="82" a="1"/>
  <c r="N61" i="82" a="1"/>
  <c r="Z24" i="82" a="1"/>
  <c r="N60" i="82" a="1"/>
  <c r="Y14" i="82" a="1"/>
  <c r="Z9" i="82" a="1"/>
  <c r="Z14" i="82" a="1"/>
  <c r="N34" i="82" a="1"/>
  <c r="Y35" i="82" a="1"/>
  <c r="Z32" i="82" a="1"/>
  <c r="M17" i="82" a="1"/>
  <c r="M41" i="82" a="1"/>
  <c r="M18" i="82" a="1"/>
  <c r="Z8" i="82" l="1"/>
  <c r="AA8" i="82" s="1"/>
  <c r="AB8" i="82" s="1"/>
  <c r="AF8" i="82" s="1"/>
  <c r="Y8" i="82"/>
  <c r="N24" i="82"/>
  <c r="N43" i="82"/>
  <c r="N15" i="82"/>
  <c r="N56" i="82"/>
  <c r="N55" i="82"/>
  <c r="N40" i="82"/>
  <c r="N47" i="82"/>
  <c r="N62" i="82"/>
  <c r="N54" i="82"/>
  <c r="N46" i="82"/>
  <c r="N38" i="82"/>
  <c r="N30" i="82"/>
  <c r="N22" i="82"/>
  <c r="N14" i="82"/>
  <c r="N63" i="82"/>
  <c r="N16" i="82"/>
  <c r="N31" i="82"/>
  <c r="N61" i="82"/>
  <c r="N53" i="82"/>
  <c r="N45" i="82"/>
  <c r="N37" i="82"/>
  <c r="N21" i="82"/>
  <c r="N13" i="82"/>
  <c r="N48" i="82"/>
  <c r="N39" i="82"/>
  <c r="N29" i="82"/>
  <c r="N60" i="82"/>
  <c r="N32" i="82"/>
  <c r="N23" i="82"/>
  <c r="N52" i="82"/>
  <c r="N44" i="82"/>
  <c r="N36" i="82"/>
  <c r="N28" i="82"/>
  <c r="N20" i="82"/>
  <c r="N12" i="82"/>
  <c r="N59" i="82"/>
  <c r="N11" i="82"/>
  <c r="N64" i="82"/>
  <c r="N35" i="82"/>
  <c r="N50" i="82"/>
  <c r="N51" i="82"/>
  <c r="N19" i="82"/>
  <c r="N42" i="82"/>
  <c r="N34" i="82"/>
  <c r="N26" i="82"/>
  <c r="N10" i="82"/>
  <c r="N27" i="82"/>
  <c r="N58" i="82"/>
  <c r="N18" i="82"/>
  <c r="N65" i="82"/>
  <c r="N57" i="82"/>
  <c r="N49" i="82"/>
  <c r="N41" i="82"/>
  <c r="N33" i="82"/>
  <c r="N25" i="82"/>
  <c r="N17" i="82"/>
  <c r="N9" i="82"/>
  <c r="N8" i="82"/>
  <c r="O8" i="82" s="1"/>
  <c r="M56" i="82"/>
  <c r="M48" i="82"/>
  <c r="M40" i="82"/>
  <c r="M32" i="82"/>
  <c r="M24" i="82"/>
  <c r="M16" i="82"/>
  <c r="M15" i="82"/>
  <c r="M23" i="82"/>
  <c r="M63" i="82"/>
  <c r="M54" i="82"/>
  <c r="M38" i="82"/>
  <c r="M22" i="82"/>
  <c r="M14" i="82"/>
  <c r="M46" i="82"/>
  <c r="M39" i="82"/>
  <c r="M45" i="82"/>
  <c r="M13" i="82"/>
  <c r="M47" i="82"/>
  <c r="M62" i="82"/>
  <c r="M30" i="82"/>
  <c r="M61" i="82"/>
  <c r="M53" i="82"/>
  <c r="M37" i="82"/>
  <c r="M29" i="82"/>
  <c r="M21" i="82"/>
  <c r="M55" i="82"/>
  <c r="M64" i="82"/>
  <c r="M31" i="82"/>
  <c r="M60" i="82"/>
  <c r="M52" i="82"/>
  <c r="M44" i="82"/>
  <c r="M36" i="82"/>
  <c r="M28" i="82"/>
  <c r="M20" i="82"/>
  <c r="M12" i="82"/>
  <c r="M59" i="82"/>
  <c r="M51" i="82"/>
  <c r="M43" i="82"/>
  <c r="M35" i="82"/>
  <c r="M27" i="82"/>
  <c r="M19" i="82"/>
  <c r="M11" i="82"/>
  <c r="M42" i="82"/>
  <c r="M10" i="82"/>
  <c r="M18" i="82"/>
  <c r="M58" i="82"/>
  <c r="M50" i="82"/>
  <c r="M34" i="82"/>
  <c r="M26" i="82"/>
  <c r="M65" i="82"/>
  <c r="M57" i="82"/>
  <c r="M49" i="82"/>
  <c r="M41" i="82"/>
  <c r="M33" i="82"/>
  <c r="M25" i="82"/>
  <c r="M17" i="82"/>
  <c r="M9" i="82"/>
  <c r="M8" i="82"/>
  <c r="Z16" i="82"/>
  <c r="Z15" i="82"/>
  <c r="Z14" i="82"/>
  <c r="Z64" i="82"/>
  <c r="Z63" i="82"/>
  <c r="Z31" i="82"/>
  <c r="Z23" i="82"/>
  <c r="Z62" i="82"/>
  <c r="Z54" i="82"/>
  <c r="Z46" i="82"/>
  <c r="Z38" i="82"/>
  <c r="Z30" i="82"/>
  <c r="Z61" i="82"/>
  <c r="Z53" i="82"/>
  <c r="Z45" i="82"/>
  <c r="Z37" i="82"/>
  <c r="Z29" i="82"/>
  <c r="Z21" i="82"/>
  <c r="Z13" i="82"/>
  <c r="Z56" i="82"/>
  <c r="Z39" i="82"/>
  <c r="Z22" i="82"/>
  <c r="Z52" i="82"/>
  <c r="Z20" i="82"/>
  <c r="Z32" i="82"/>
  <c r="Z12" i="82"/>
  <c r="Z48" i="82"/>
  <c r="Z55" i="82"/>
  <c r="Z51" i="82"/>
  <c r="Z27" i="82"/>
  <c r="Z11" i="82"/>
  <c r="Z19" i="82"/>
  <c r="Z24" i="82"/>
  <c r="Z47" i="82"/>
  <c r="Z36" i="82"/>
  <c r="Z43" i="82"/>
  <c r="Z50" i="82"/>
  <c r="Z42" i="82"/>
  <c r="Z34" i="82"/>
  <c r="Z26" i="82"/>
  <c r="Z18" i="82"/>
  <c r="Z10" i="82"/>
  <c r="Z58" i="82"/>
  <c r="Z40" i="82"/>
  <c r="Z60" i="82"/>
  <c r="Z44" i="82"/>
  <c r="Z28" i="82"/>
  <c r="Z59" i="82"/>
  <c r="Z35" i="82"/>
  <c r="Z65" i="82"/>
  <c r="Z57" i="82"/>
  <c r="Z49" i="82"/>
  <c r="Z41" i="82"/>
  <c r="Z33" i="82"/>
  <c r="Z25" i="82"/>
  <c r="Z17" i="82"/>
  <c r="Z9" i="82"/>
  <c r="Y60" i="82"/>
  <c r="Y64" i="82"/>
  <c r="Y56" i="82"/>
  <c r="Y48" i="82"/>
  <c r="Y40" i="82"/>
  <c r="Y32" i="82"/>
  <c r="Y24" i="82"/>
  <c r="Y16" i="82"/>
  <c r="Y63" i="82"/>
  <c r="Y39" i="82"/>
  <c r="Y15" i="82"/>
  <c r="Y23" i="82"/>
  <c r="Y52" i="82"/>
  <c r="Y55" i="82"/>
  <c r="Y31" i="82"/>
  <c r="Y62" i="82"/>
  <c r="Y54" i="82"/>
  <c r="Y46" i="82"/>
  <c r="Y30" i="82"/>
  <c r="Y22" i="82"/>
  <c r="Y14" i="82"/>
  <c r="Y38" i="82"/>
  <c r="Y61" i="82"/>
  <c r="Y53" i="82"/>
  <c r="Y45" i="82"/>
  <c r="Y37" i="82"/>
  <c r="Y21" i="82"/>
  <c r="Y13" i="82"/>
  <c r="Y47" i="82"/>
  <c r="Y29" i="82"/>
  <c r="Y12" i="82"/>
  <c r="Y36" i="82"/>
  <c r="Y11" i="82"/>
  <c r="Y27" i="82"/>
  <c r="Y20" i="82"/>
  <c r="Y51" i="82"/>
  <c r="Y43" i="82"/>
  <c r="Y35" i="82"/>
  <c r="Y19" i="82"/>
  <c r="Y58" i="82"/>
  <c r="Y50" i="82"/>
  <c r="Y42" i="82"/>
  <c r="Y26" i="82"/>
  <c r="Y18" i="82"/>
  <c r="Y10" i="82"/>
  <c r="Y44" i="82"/>
  <c r="Y34" i="82"/>
  <c r="Y28" i="82"/>
  <c r="Y59" i="82"/>
  <c r="Y65" i="82"/>
  <c r="Y57" i="82"/>
  <c r="Y49" i="82"/>
  <c r="Y41" i="82"/>
  <c r="Y33" i="82"/>
  <c r="Y25" i="82"/>
  <c r="Y17" i="82"/>
  <c r="Y9" i="82"/>
  <c r="AB5" i="82"/>
  <c r="X9" i="82"/>
  <c r="I11" i="82"/>
  <c r="O9" i="82"/>
  <c r="P5" i="82"/>
  <c r="L10" i="82"/>
  <c r="I10" i="82"/>
  <c r="H10" i="82"/>
  <c r="H6" i="82"/>
  <c r="H7" i="82" s="1"/>
  <c r="I6" i="79"/>
  <c r="D15" i="79" a="1"/>
  <c r="I9" i="82" a="1"/>
  <c r="H9" i="82" a="1"/>
  <c r="J6" i="79" a="1"/>
  <c r="I8" i="82" a="1"/>
  <c r="H8" i="82" a="1"/>
  <c r="I6" i="82" a="1"/>
  <c r="E15" i="79" a="1"/>
  <c r="AC8" i="82" l="1"/>
  <c r="AA9" i="82"/>
  <c r="AB9" i="82" s="1"/>
  <c r="AF9" i="82" s="1"/>
  <c r="X10" i="82"/>
  <c r="D9" i="82"/>
  <c r="O10" i="82"/>
  <c r="L11" i="82"/>
  <c r="P8" i="82"/>
  <c r="T8" i="82" s="1"/>
  <c r="P9" i="82"/>
  <c r="T9" i="82" s="1"/>
  <c r="I9" i="82"/>
  <c r="H9" i="82"/>
  <c r="I8" i="82"/>
  <c r="E13" i="82" s="1"/>
  <c r="H8" i="82"/>
  <c r="D13" i="82" s="1"/>
  <c r="I6" i="82"/>
  <c r="E9" i="82" s="1"/>
  <c r="E10" i="82" s="1"/>
  <c r="E11" i="82" s="1"/>
  <c r="E15" i="79"/>
  <c r="J6" i="79"/>
  <c r="D15" i="79"/>
  <c r="AG9" i="82" l="1"/>
  <c r="AH9" i="82"/>
  <c r="V8" i="82"/>
  <c r="U8" i="82"/>
  <c r="AC9" i="82"/>
  <c r="U9" i="82"/>
  <c r="V9" i="82"/>
  <c r="AE8" i="82"/>
  <c r="AD8" i="82"/>
  <c r="AH8" i="82"/>
  <c r="AG8" i="82"/>
  <c r="Q9" i="82"/>
  <c r="Q8" i="82"/>
  <c r="AA10" i="82"/>
  <c r="AB10" i="82" s="1"/>
  <c r="X11" i="82"/>
  <c r="D17" i="82"/>
  <c r="D18" i="82" s="1"/>
  <c r="D14" i="82"/>
  <c r="D15" i="82" s="1"/>
  <c r="D10" i="82"/>
  <c r="D11" i="82" s="1"/>
  <c r="E17" i="82"/>
  <c r="E18" i="82" s="1"/>
  <c r="E14" i="82"/>
  <c r="E15" i="82" s="1"/>
  <c r="D6" i="82"/>
  <c r="B12" i="85" s="1"/>
  <c r="O11" i="82"/>
  <c r="L12" i="82"/>
  <c r="P10" i="82"/>
  <c r="T10" i="82" s="1"/>
  <c r="I7" i="82"/>
  <c r="E6" i="82" s="1"/>
  <c r="B13" i="85" s="1"/>
  <c r="D7" i="82"/>
  <c r="D8" i="82" s="1"/>
  <c r="D13" i="78"/>
  <c r="D6" i="72"/>
  <c r="D6" i="79" a="1"/>
  <c r="E11" i="79" a="1"/>
  <c r="B19" i="79" a="1"/>
  <c r="E8" i="79" a="1"/>
  <c r="D11" i="79" a="1"/>
  <c r="D8" i="79" a="1"/>
  <c r="E6" i="79" a="1"/>
  <c r="B18" i="79" a="1"/>
  <c r="R8" i="82" l="1"/>
  <c r="S8" i="82"/>
  <c r="R9" i="82"/>
  <c r="S9" i="82"/>
  <c r="AF10" i="82"/>
  <c r="AC10" i="82"/>
  <c r="AD9" i="82"/>
  <c r="AE9" i="82"/>
  <c r="U10" i="82"/>
  <c r="V10" i="82"/>
  <c r="D8" i="85"/>
  <c r="D9" i="85"/>
  <c r="D7" i="85"/>
  <c r="Q10" i="82"/>
  <c r="AA11" i="82"/>
  <c r="AB11" i="82" s="1"/>
  <c r="X12" i="82"/>
  <c r="O12" i="82"/>
  <c r="L13" i="82"/>
  <c r="P11" i="82"/>
  <c r="T11" i="82" s="1"/>
  <c r="E7" i="82"/>
  <c r="E8" i="82" s="1"/>
  <c r="B19" i="79"/>
  <c r="E13" i="79" s="1"/>
  <c r="B18" i="79"/>
  <c r="D13" i="79"/>
  <c r="E11" i="79"/>
  <c r="E6" i="79"/>
  <c r="D6" i="79"/>
  <c r="D11" i="79"/>
  <c r="E8" i="79"/>
  <c r="D8" i="79"/>
  <c r="D6" i="78"/>
  <c r="D9" i="78" s="1"/>
  <c r="C24" i="78"/>
  <c r="C23" i="78"/>
  <c r="D13" i="72"/>
  <c r="D22" i="72"/>
  <c r="E15" i="72"/>
  <c r="D15" i="72"/>
  <c r="E10" i="72"/>
  <c r="D10" i="72"/>
  <c r="E6" i="72"/>
  <c r="E12" i="79" a="1"/>
  <c r="E13" i="72" a="1"/>
  <c r="E22" i="72" a="1"/>
  <c r="D10" i="78" a="1"/>
  <c r="M2" i="72" a="1"/>
  <c r="D7" i="79" a="1"/>
  <c r="W2" i="72" a="1"/>
  <c r="E14" i="79" a="1"/>
  <c r="D14" i="79" a="1"/>
  <c r="D12" i="79" a="1"/>
  <c r="D9" i="79" a="1"/>
  <c r="E7" i="79" a="1"/>
  <c r="E9" i="79" a="1"/>
  <c r="R10" i="82" l="1"/>
  <c r="S10" i="82"/>
  <c r="AE10" i="82"/>
  <c r="AD10" i="82"/>
  <c r="AG10" i="82"/>
  <c r="AH10" i="82"/>
  <c r="V11" i="82"/>
  <c r="U11" i="82"/>
  <c r="AF11" i="82"/>
  <c r="AC11" i="82"/>
  <c r="Q11" i="82"/>
  <c r="AA12" i="82"/>
  <c r="AB12" i="82" s="1"/>
  <c r="X13" i="82"/>
  <c r="O13" i="82"/>
  <c r="L14" i="82"/>
  <c r="P12" i="82"/>
  <c r="T12" i="82" s="1"/>
  <c r="E12" i="79"/>
  <c r="E14" i="79"/>
  <c r="D9" i="79"/>
  <c r="D12" i="79"/>
  <c r="E9" i="79"/>
  <c r="D14" i="79"/>
  <c r="E7" i="79"/>
  <c r="D7" i="79"/>
  <c r="D10" i="78"/>
  <c r="D16" i="78"/>
  <c r="D15" i="78"/>
  <c r="D8" i="78"/>
  <c r="E22" i="72"/>
  <c r="E13" i="72"/>
  <c r="W2" i="72"/>
  <c r="M2" i="72"/>
  <c r="L4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" i="69"/>
  <c r="G14" i="69"/>
  <c r="G15" i="69"/>
  <c r="G16" i="69"/>
  <c r="G17" i="69"/>
  <c r="G18" i="69"/>
  <c r="G19" i="69"/>
  <c r="G20" i="69"/>
  <c r="G21" i="69"/>
  <c r="G22" i="69"/>
  <c r="G23" i="69"/>
  <c r="G24" i="69"/>
  <c r="G25" i="69"/>
  <c r="G26" i="69"/>
  <c r="G27" i="69"/>
  <c r="G28" i="69"/>
  <c r="G29" i="69"/>
  <c r="G4" i="69"/>
  <c r="G5" i="69"/>
  <c r="G6" i="69"/>
  <c r="G7" i="69"/>
  <c r="G8" i="69"/>
  <c r="G9" i="69"/>
  <c r="G10" i="69"/>
  <c r="G11" i="69"/>
  <c r="G12" i="69"/>
  <c r="G13" i="69"/>
  <c r="G3" i="69"/>
  <c r="M39" i="62"/>
  <c r="F40" i="62"/>
  <c r="F41" i="62"/>
  <c r="F42" i="62"/>
  <c r="F43" i="62"/>
  <c r="F44" i="62"/>
  <c r="K44" i="62" s="1"/>
  <c r="F45" i="62"/>
  <c r="K45" i="62" s="1"/>
  <c r="F46" i="62"/>
  <c r="K46" i="62" s="1"/>
  <c r="F47" i="62"/>
  <c r="K47" i="62" s="1"/>
  <c r="F48" i="62"/>
  <c r="G48" i="62" s="1"/>
  <c r="F49" i="62"/>
  <c r="G49" i="62" s="1"/>
  <c r="F50" i="62"/>
  <c r="G50" i="62" s="1"/>
  <c r="F51" i="62"/>
  <c r="G51" i="62" s="1"/>
  <c r="F52" i="62"/>
  <c r="G52" i="62" s="1"/>
  <c r="F53" i="62"/>
  <c r="G53" i="62" s="1"/>
  <c r="F54" i="62"/>
  <c r="F55" i="62"/>
  <c r="F56" i="62"/>
  <c r="F57" i="62"/>
  <c r="F58" i="62"/>
  <c r="F59" i="62"/>
  <c r="F60" i="62"/>
  <c r="F61" i="62"/>
  <c r="F62" i="62"/>
  <c r="F63" i="62"/>
  <c r="F39" i="62"/>
  <c r="D38" i="62"/>
  <c r="E38" i="62"/>
  <c r="F38" i="62" s="1"/>
  <c r="M38" i="62"/>
  <c r="N38" i="62" s="1"/>
  <c r="C38" i="62"/>
  <c r="B38" i="62"/>
  <c r="B39" i="62"/>
  <c r="D39" i="62" s="1"/>
  <c r="E39" i="62"/>
  <c r="N39" i="62" s="1"/>
  <c r="G39" i="62"/>
  <c r="I39" i="62"/>
  <c r="H39" i="62" s="1"/>
  <c r="K39" i="62"/>
  <c r="M46" i="62"/>
  <c r="N46" i="62" s="1"/>
  <c r="M47" i="62"/>
  <c r="N47" i="62" s="1"/>
  <c r="M48" i="62"/>
  <c r="N48" i="62" s="1"/>
  <c r="M49" i="62"/>
  <c r="N49" i="62" s="1"/>
  <c r="K60" i="62"/>
  <c r="G40" i="62"/>
  <c r="G41" i="62"/>
  <c r="G42" i="62"/>
  <c r="G43" i="62"/>
  <c r="K40" i="62"/>
  <c r="K41" i="62"/>
  <c r="K42" i="62"/>
  <c r="K43" i="62"/>
  <c r="K56" i="62"/>
  <c r="K57" i="62"/>
  <c r="K58" i="62"/>
  <c r="K59" i="62"/>
  <c r="K63" i="62"/>
  <c r="E40" i="62"/>
  <c r="I40" i="62" s="1"/>
  <c r="H40" i="62" s="1"/>
  <c r="E41" i="62"/>
  <c r="M41" i="62" s="1"/>
  <c r="N41" i="62" s="1"/>
  <c r="E42" i="62"/>
  <c r="M42" i="62" s="1"/>
  <c r="N42" i="62" s="1"/>
  <c r="E43" i="62"/>
  <c r="M43" i="62" s="1"/>
  <c r="N43" i="62" s="1"/>
  <c r="E44" i="62"/>
  <c r="M44" i="62" s="1"/>
  <c r="N44" i="62" s="1"/>
  <c r="E45" i="62"/>
  <c r="M45" i="62" s="1"/>
  <c r="N45" i="62" s="1"/>
  <c r="E46" i="62"/>
  <c r="E47" i="62"/>
  <c r="E48" i="62"/>
  <c r="E49" i="62"/>
  <c r="E50" i="62"/>
  <c r="M50" i="62" s="1"/>
  <c r="N50" i="62" s="1"/>
  <c r="E51" i="62"/>
  <c r="M51" i="62" s="1"/>
  <c r="N51" i="62" s="1"/>
  <c r="E52" i="62"/>
  <c r="M52" i="62" s="1"/>
  <c r="N52" i="62" s="1"/>
  <c r="E53" i="62"/>
  <c r="M53" i="62" s="1"/>
  <c r="N53" i="62" s="1"/>
  <c r="E54" i="62"/>
  <c r="M54" i="62" s="1"/>
  <c r="N54" i="62" s="1"/>
  <c r="E55" i="62"/>
  <c r="M55" i="62" s="1"/>
  <c r="N55" i="62" s="1"/>
  <c r="E56" i="62"/>
  <c r="I56" i="62" s="1"/>
  <c r="H56" i="62" s="1"/>
  <c r="L56" i="62" s="1"/>
  <c r="E57" i="62"/>
  <c r="M57" i="62" s="1"/>
  <c r="N57" i="62" s="1"/>
  <c r="E58" i="62"/>
  <c r="E59" i="62"/>
  <c r="E60" i="62"/>
  <c r="M60" i="62" s="1"/>
  <c r="N60" i="62" s="1"/>
  <c r="E61" i="62"/>
  <c r="M61" i="62" s="1"/>
  <c r="N61" i="62" s="1"/>
  <c r="E62" i="62"/>
  <c r="M62" i="62" s="1"/>
  <c r="N62" i="62" s="1"/>
  <c r="E63" i="62"/>
  <c r="M63" i="62" s="1"/>
  <c r="N63" i="62" s="1"/>
  <c r="B40" i="62"/>
  <c r="D40" i="62" s="1"/>
  <c r="B41" i="62"/>
  <c r="D41" i="62" s="1"/>
  <c r="B42" i="62"/>
  <c r="D42" i="62" s="1"/>
  <c r="B43" i="62"/>
  <c r="D43" i="62" s="1"/>
  <c r="B44" i="62"/>
  <c r="D44" i="62" s="1"/>
  <c r="B45" i="62"/>
  <c r="D45" i="62" s="1"/>
  <c r="B46" i="62"/>
  <c r="D46" i="62" s="1"/>
  <c r="B47" i="62"/>
  <c r="D47" i="62" s="1"/>
  <c r="B48" i="62"/>
  <c r="D48" i="62" s="1"/>
  <c r="B49" i="62"/>
  <c r="D49" i="62" s="1"/>
  <c r="B50" i="62"/>
  <c r="D50" i="62" s="1"/>
  <c r="B51" i="62"/>
  <c r="D51" i="62" s="1"/>
  <c r="B52" i="62"/>
  <c r="D52" i="62" s="1"/>
  <c r="B53" i="62"/>
  <c r="D53" i="62" s="1"/>
  <c r="B54" i="62"/>
  <c r="D54" i="62" s="1"/>
  <c r="B55" i="62"/>
  <c r="D55" i="62" s="1"/>
  <c r="B56" i="62"/>
  <c r="D56" i="62" s="1"/>
  <c r="B57" i="62"/>
  <c r="D57" i="62" s="1"/>
  <c r="B58" i="62"/>
  <c r="D58" i="62" s="1"/>
  <c r="B59" i="62"/>
  <c r="D59" i="62" s="1"/>
  <c r="B60" i="62"/>
  <c r="D60" i="62" s="1"/>
  <c r="B61" i="62"/>
  <c r="D61" i="62" s="1"/>
  <c r="B62" i="62"/>
  <c r="D62" i="62" s="1"/>
  <c r="B63" i="62"/>
  <c r="D63" i="62" s="1"/>
  <c r="C4" i="62"/>
  <c r="C5" i="62"/>
  <c r="E5" i="62" s="1"/>
  <c r="C6" i="62"/>
  <c r="E6" i="62" s="1"/>
  <c r="C7" i="62"/>
  <c r="E7" i="62" s="1"/>
  <c r="C8" i="62"/>
  <c r="C9" i="62"/>
  <c r="B9" i="62" s="1"/>
  <c r="D9" i="62" s="1"/>
  <c r="C10" i="62"/>
  <c r="E10" i="62" s="1"/>
  <c r="F10" i="62" s="1"/>
  <c r="C11" i="62"/>
  <c r="B11" i="62" s="1"/>
  <c r="D11" i="62" s="1"/>
  <c r="C12" i="62"/>
  <c r="B12" i="62" s="1"/>
  <c r="D12" i="62" s="1"/>
  <c r="C13" i="62"/>
  <c r="B13" i="62" s="1"/>
  <c r="D13" i="62" s="1"/>
  <c r="C14" i="62"/>
  <c r="C15" i="62"/>
  <c r="C16" i="62"/>
  <c r="C17" i="62"/>
  <c r="C18" i="62"/>
  <c r="E18" i="62" s="1"/>
  <c r="C19" i="62"/>
  <c r="C20" i="62"/>
  <c r="C21" i="62"/>
  <c r="C22" i="62"/>
  <c r="C23" i="62"/>
  <c r="C24" i="62"/>
  <c r="C25" i="62"/>
  <c r="E25" i="62" s="1"/>
  <c r="F25" i="62" s="1"/>
  <c r="C26" i="62"/>
  <c r="E26" i="62" s="1"/>
  <c r="C27" i="62"/>
  <c r="E27" i="62" s="1"/>
  <c r="F27" i="62" s="1"/>
  <c r="C28" i="62"/>
  <c r="C29" i="62"/>
  <c r="C30" i="62"/>
  <c r="C31" i="62"/>
  <c r="C32" i="62"/>
  <c r="B32" i="62" s="1"/>
  <c r="D32" i="62" s="1"/>
  <c r="C33" i="62"/>
  <c r="C34" i="62"/>
  <c r="B34" i="62" s="1"/>
  <c r="D34" i="62" s="1"/>
  <c r="C35" i="62"/>
  <c r="E35" i="62" s="1"/>
  <c r="C36" i="62"/>
  <c r="E36" i="62" s="1"/>
  <c r="C37" i="62"/>
  <c r="E37" i="62" s="1"/>
  <c r="F37" i="62" s="1"/>
  <c r="I37" i="62" s="1"/>
  <c r="C3" i="62"/>
  <c r="C2" i="62"/>
  <c r="D22" i="69" a="1"/>
  <c r="D13" i="69" a="1"/>
  <c r="B25" i="69" a="1"/>
  <c r="D26" i="69" a="1"/>
  <c r="C19" i="69" a="1"/>
  <c r="C25" i="69" a="1"/>
  <c r="B16" i="69" a="1"/>
  <c r="D7" i="69" a="1"/>
  <c r="D4" i="69" a="1"/>
  <c r="C13" i="69" a="1"/>
  <c r="C28" i="69" a="1"/>
  <c r="C22" i="69" a="1"/>
  <c r="C16" i="69" a="1"/>
  <c r="C21" i="69" a="1"/>
  <c r="D9" i="69" a="1"/>
  <c r="C15" i="69" a="1"/>
  <c r="B5" i="69" a="1"/>
  <c r="C7" i="69" a="1"/>
  <c r="C12" i="69" a="1"/>
  <c r="D15" i="69" a="1"/>
  <c r="B8" i="69" a="1"/>
  <c r="D8" i="69" a="1"/>
  <c r="C14" i="69" a="1"/>
  <c r="B22" i="69" a="1"/>
  <c r="B27" i="69" a="1"/>
  <c r="B29" i="69" a="1"/>
  <c r="D17" i="78" a="1"/>
  <c r="D18" i="69" a="1"/>
  <c r="D6" i="69" a="1"/>
  <c r="C17" i="69" a="1"/>
  <c r="C18" i="69" a="1"/>
  <c r="B26" i="69" a="1"/>
  <c r="B10" i="69" a="1"/>
  <c r="C6" i="69" a="1"/>
  <c r="D24" i="69" a="1"/>
  <c r="D14" i="69" a="1"/>
  <c r="D11" i="69" a="1"/>
  <c r="D12" i="69" a="1"/>
  <c r="D23" i="69" a="1"/>
  <c r="C4" i="69" a="1"/>
  <c r="C8" i="69" a="1"/>
  <c r="C27" i="69" a="1"/>
  <c r="C5" i="69" a="1"/>
  <c r="C26" i="69" a="1"/>
  <c r="D19" i="69" a="1"/>
  <c r="C23" i="69" a="1"/>
  <c r="B13" i="69" a="1"/>
  <c r="B23" i="69" a="1"/>
  <c r="B20" i="69" a="1"/>
  <c r="B12" i="69" a="1"/>
  <c r="D16" i="69" a="1"/>
  <c r="D29" i="69" a="1"/>
  <c r="B15" i="69" a="1"/>
  <c r="C20" i="69" a="1"/>
  <c r="C9" i="69" a="1"/>
  <c r="C11" i="69" a="1"/>
  <c r="B19" i="69" a="1"/>
  <c r="D3" i="69" a="1"/>
  <c r="D21" i="69" a="1"/>
  <c r="D25" i="69" a="1"/>
  <c r="B9" i="69" a="1"/>
  <c r="C29" i="69" a="1"/>
  <c r="B7" i="69" a="1"/>
  <c r="B24" i="69" a="1"/>
  <c r="C10" i="69" a="1"/>
  <c r="B21" i="69" a="1"/>
  <c r="B18" i="69" a="1"/>
  <c r="B11" i="69" a="1"/>
  <c r="B14" i="69" a="1"/>
  <c r="B3" i="69" a="1"/>
  <c r="D27" i="69" a="1"/>
  <c r="B17" i="69" a="1"/>
  <c r="D20" i="69" a="1"/>
  <c r="D17" i="69" a="1"/>
  <c r="B28" i="69" a="1"/>
  <c r="B4" i="69" a="1"/>
  <c r="D28" i="69" a="1"/>
  <c r="B6" i="69" a="1"/>
  <c r="D10" i="69" a="1"/>
  <c r="C24" i="69" a="1"/>
  <c r="C3" i="69" a="1"/>
  <c r="D5" i="69" a="1"/>
  <c r="AF12" i="82" l="1"/>
  <c r="AC12" i="82"/>
  <c r="U12" i="82"/>
  <c r="V12" i="82"/>
  <c r="R11" i="82"/>
  <c r="S11" i="82"/>
  <c r="AG11" i="82"/>
  <c r="AH11" i="82"/>
  <c r="AD11" i="82"/>
  <c r="AE11" i="82"/>
  <c r="Q12" i="82"/>
  <c r="AA13" i="82"/>
  <c r="AB13" i="82" s="1"/>
  <c r="X14" i="82"/>
  <c r="O14" i="82"/>
  <c r="L15" i="82"/>
  <c r="P13" i="82"/>
  <c r="T13" i="82" s="1"/>
  <c r="D17" i="78"/>
  <c r="D7" i="72"/>
  <c r="D11" i="72"/>
  <c r="D16" i="72" s="1"/>
  <c r="F16" i="72" s="1"/>
  <c r="F14" i="72" s="1"/>
  <c r="E11" i="72"/>
  <c r="E16" i="72" s="1"/>
  <c r="E7" i="72"/>
  <c r="C3" i="69"/>
  <c r="D25" i="69"/>
  <c r="D23" i="69"/>
  <c r="C29" i="69"/>
  <c r="C15" i="69"/>
  <c r="B29" i="69"/>
  <c r="B23" i="69"/>
  <c r="D26" i="69"/>
  <c r="D24" i="69"/>
  <c r="D22" i="69"/>
  <c r="D20" i="69"/>
  <c r="D18" i="69"/>
  <c r="D16" i="69"/>
  <c r="D14" i="69"/>
  <c r="D21" i="69"/>
  <c r="C23" i="69"/>
  <c r="B15" i="69"/>
  <c r="D28" i="69"/>
  <c r="D29" i="69"/>
  <c r="D17" i="69"/>
  <c r="C27" i="69"/>
  <c r="C21" i="69"/>
  <c r="B25" i="69"/>
  <c r="B17" i="69"/>
  <c r="C26" i="69"/>
  <c r="C24" i="69"/>
  <c r="C22" i="69"/>
  <c r="C20" i="69"/>
  <c r="C18" i="69"/>
  <c r="C16" i="69"/>
  <c r="C14" i="69"/>
  <c r="D19" i="69"/>
  <c r="C19" i="69"/>
  <c r="B21" i="69"/>
  <c r="C28" i="69"/>
  <c r="D27" i="69"/>
  <c r="D15" i="69"/>
  <c r="C25" i="69"/>
  <c r="C17" i="69"/>
  <c r="B27" i="69"/>
  <c r="B19" i="69"/>
  <c r="B28" i="69"/>
  <c r="B26" i="69"/>
  <c r="B24" i="69"/>
  <c r="B22" i="69"/>
  <c r="B20" i="69"/>
  <c r="B18" i="69"/>
  <c r="B16" i="69"/>
  <c r="B14" i="69"/>
  <c r="D7" i="69"/>
  <c r="C11" i="69"/>
  <c r="D6" i="69"/>
  <c r="C9" i="69"/>
  <c r="C7" i="69"/>
  <c r="C6" i="69"/>
  <c r="D9" i="69"/>
  <c r="C13" i="69"/>
  <c r="D4" i="69"/>
  <c r="D11" i="69"/>
  <c r="D10" i="69"/>
  <c r="C10" i="69"/>
  <c r="D13" i="69"/>
  <c r="D5" i="69"/>
  <c r="C5" i="69"/>
  <c r="D12" i="69"/>
  <c r="D8" i="69"/>
  <c r="C12" i="69"/>
  <c r="C8" i="69"/>
  <c r="C4" i="69"/>
  <c r="D3" i="69"/>
  <c r="B3" i="69"/>
  <c r="H3" i="69" s="1"/>
  <c r="B10" i="69"/>
  <c r="B9" i="69"/>
  <c r="B8" i="69"/>
  <c r="B6" i="69"/>
  <c r="B5" i="69"/>
  <c r="B7" i="69"/>
  <c r="B13" i="69"/>
  <c r="B11" i="69"/>
  <c r="B12" i="69"/>
  <c r="B4" i="69"/>
  <c r="J39" i="62"/>
  <c r="G38" i="62"/>
  <c r="I38" i="62"/>
  <c r="K38" i="62"/>
  <c r="L39" i="62"/>
  <c r="O39" i="62"/>
  <c r="K53" i="62"/>
  <c r="K51" i="62"/>
  <c r="E12" i="62"/>
  <c r="F12" i="62" s="1"/>
  <c r="I12" i="62" s="1"/>
  <c r="K52" i="62"/>
  <c r="M10" i="62"/>
  <c r="N10" i="62" s="1"/>
  <c r="O40" i="62"/>
  <c r="L40" i="62"/>
  <c r="F26" i="62"/>
  <c r="I26" i="62" s="1"/>
  <c r="J26" i="62" s="1"/>
  <c r="M26" i="62"/>
  <c r="N26" i="62" s="1"/>
  <c r="O56" i="62"/>
  <c r="K50" i="62"/>
  <c r="I49" i="62"/>
  <c r="H49" i="62" s="1"/>
  <c r="M40" i="62"/>
  <c r="N40" i="62" s="1"/>
  <c r="G63" i="62"/>
  <c r="G59" i="62"/>
  <c r="I53" i="62"/>
  <c r="H53" i="62" s="1"/>
  <c r="L53" i="62" s="1"/>
  <c r="M56" i="62"/>
  <c r="N56" i="62" s="1"/>
  <c r="J40" i="62"/>
  <c r="B27" i="62"/>
  <c r="D27" i="62" s="1"/>
  <c r="K49" i="62"/>
  <c r="B26" i="62"/>
  <c r="D26" i="62" s="1"/>
  <c r="B25" i="62"/>
  <c r="D25" i="62" s="1"/>
  <c r="I55" i="62"/>
  <c r="H55" i="62" s="1"/>
  <c r="L55" i="62" s="1"/>
  <c r="I48" i="62"/>
  <c r="H48" i="62" s="1"/>
  <c r="I54" i="62"/>
  <c r="H54" i="62" s="1"/>
  <c r="L54" i="62" s="1"/>
  <c r="I47" i="62"/>
  <c r="H47" i="62" s="1"/>
  <c r="L47" i="62" s="1"/>
  <c r="M37" i="62"/>
  <c r="N37" i="62" s="1"/>
  <c r="I59" i="62"/>
  <c r="G58" i="62"/>
  <c r="I46" i="62"/>
  <c r="H46" i="62" s="1"/>
  <c r="L46" i="62" s="1"/>
  <c r="M27" i="62"/>
  <c r="N27" i="62" s="1"/>
  <c r="I58" i="62"/>
  <c r="H58" i="62" s="1"/>
  <c r="I42" i="62"/>
  <c r="I52" i="62"/>
  <c r="H52" i="62" s="1"/>
  <c r="L52" i="62" s="1"/>
  <c r="G57" i="62"/>
  <c r="I43" i="62"/>
  <c r="M59" i="62"/>
  <c r="N59" i="62" s="1"/>
  <c r="I57" i="62"/>
  <c r="H57" i="62" s="1"/>
  <c r="I41" i="62"/>
  <c r="G56" i="62"/>
  <c r="J56" i="62"/>
  <c r="M58" i="62"/>
  <c r="N58" i="62" s="1"/>
  <c r="M25" i="62"/>
  <c r="N25" i="62" s="1"/>
  <c r="I45" i="62"/>
  <c r="E8" i="62"/>
  <c r="B8" i="62"/>
  <c r="D8" i="62" s="1"/>
  <c r="I44" i="62"/>
  <c r="E2" i="62"/>
  <c r="F7" i="62"/>
  <c r="K7" i="62" s="1"/>
  <c r="M7" i="62"/>
  <c r="N7" i="62" s="1"/>
  <c r="K55" i="62"/>
  <c r="F6" i="62"/>
  <c r="K6" i="62" s="1"/>
  <c r="M6" i="62"/>
  <c r="N6" i="62" s="1"/>
  <c r="K54" i="62"/>
  <c r="E21" i="62"/>
  <c r="O55" i="62"/>
  <c r="E20" i="62"/>
  <c r="E4" i="62"/>
  <c r="G54" i="62"/>
  <c r="F35" i="62"/>
  <c r="G35" i="62" s="1"/>
  <c r="M35" i="62"/>
  <c r="N35" i="62" s="1"/>
  <c r="E19" i="62"/>
  <c r="B33" i="62"/>
  <c r="D33" i="62" s="1"/>
  <c r="K62" i="62"/>
  <c r="G62" i="62"/>
  <c r="G47" i="62"/>
  <c r="I63" i="62"/>
  <c r="E24" i="62"/>
  <c r="B24" i="62"/>
  <c r="D24" i="62" s="1"/>
  <c r="E23" i="62"/>
  <c r="E3" i="62"/>
  <c r="E22" i="62"/>
  <c r="B22" i="62"/>
  <c r="D22" i="62" s="1"/>
  <c r="F5" i="62"/>
  <c r="I5" i="62" s="1"/>
  <c r="J5" i="62" s="1"/>
  <c r="M5" i="62"/>
  <c r="N5" i="62" s="1"/>
  <c r="G55" i="62"/>
  <c r="F36" i="62"/>
  <c r="G36" i="62" s="1"/>
  <c r="M36" i="62"/>
  <c r="N36" i="62" s="1"/>
  <c r="F18" i="62"/>
  <c r="I18" i="62" s="1"/>
  <c r="M18" i="62"/>
  <c r="N18" i="62" s="1"/>
  <c r="E17" i="62"/>
  <c r="E32" i="62"/>
  <c r="B16" i="62"/>
  <c r="D16" i="62" s="1"/>
  <c r="K61" i="62"/>
  <c r="G61" i="62"/>
  <c r="I61" i="62"/>
  <c r="G46" i="62"/>
  <c r="I62" i="62"/>
  <c r="K48" i="62"/>
  <c r="G60" i="62"/>
  <c r="I60" i="62"/>
  <c r="G45" i="62"/>
  <c r="I51" i="62"/>
  <c r="G44" i="62"/>
  <c r="I50" i="62"/>
  <c r="M12" i="62"/>
  <c r="N12" i="62" s="1"/>
  <c r="J49" i="62"/>
  <c r="B31" i="62"/>
  <c r="D31" i="62" s="1"/>
  <c r="B15" i="62"/>
  <c r="D15" i="62" s="1"/>
  <c r="B14" i="62"/>
  <c r="D14" i="62" s="1"/>
  <c r="B29" i="62"/>
  <c r="D29" i="62" s="1"/>
  <c r="E29" i="62"/>
  <c r="B28" i="62"/>
  <c r="D28" i="62" s="1"/>
  <c r="E28" i="62"/>
  <c r="E31" i="62"/>
  <c r="B23" i="62"/>
  <c r="D23" i="62" s="1"/>
  <c r="B10" i="62"/>
  <c r="D10" i="62" s="1"/>
  <c r="B7" i="62"/>
  <c r="D7" i="62" s="1"/>
  <c r="B6" i="62"/>
  <c r="D6" i="62" s="1"/>
  <c r="B3" i="62"/>
  <c r="D3" i="62" s="1"/>
  <c r="E34" i="62"/>
  <c r="E33" i="62"/>
  <c r="B2" i="62"/>
  <c r="D2" i="62" s="1"/>
  <c r="E16" i="62"/>
  <c r="B21" i="62"/>
  <c r="D21" i="62" s="1"/>
  <c r="E15" i="62"/>
  <c r="B20" i="62"/>
  <c r="D20" i="62" s="1"/>
  <c r="E13" i="62"/>
  <c r="B19" i="62"/>
  <c r="D19" i="62" s="1"/>
  <c r="B18" i="62"/>
  <c r="D18" i="62" s="1"/>
  <c r="E11" i="62"/>
  <c r="B5" i="62"/>
  <c r="D5" i="62" s="1"/>
  <c r="B17" i="62"/>
  <c r="D17" i="62" s="1"/>
  <c r="H26" i="62"/>
  <c r="B4" i="62"/>
  <c r="D4" i="62" s="1"/>
  <c r="J37" i="62"/>
  <c r="H37" i="62"/>
  <c r="L37" i="62" s="1"/>
  <c r="I36" i="62"/>
  <c r="K36" i="62"/>
  <c r="G37" i="62"/>
  <c r="B30" i="62"/>
  <c r="D30" i="62" s="1"/>
  <c r="E30" i="62"/>
  <c r="E14" i="62"/>
  <c r="G12" i="62"/>
  <c r="K12" i="62"/>
  <c r="K37" i="62"/>
  <c r="K18" i="62"/>
  <c r="I25" i="62"/>
  <c r="K25" i="62"/>
  <c r="G25" i="62"/>
  <c r="I10" i="62"/>
  <c r="K10" i="62"/>
  <c r="G10" i="62"/>
  <c r="G27" i="62"/>
  <c r="I27" i="62"/>
  <c r="E9" i="62"/>
  <c r="G5" i="62"/>
  <c r="K5" i="62"/>
  <c r="B37" i="62"/>
  <c r="D37" i="62" s="1"/>
  <c r="K27" i="62"/>
  <c r="B36" i="62"/>
  <c r="D36" i="62" s="1"/>
  <c r="B35" i="62"/>
  <c r="D35" i="62" s="1"/>
  <c r="J14" i="69" a="1"/>
  <c r="S12" i="82" l="1"/>
  <c r="R12" i="82"/>
  <c r="V13" i="82"/>
  <c r="U13" i="82"/>
  <c r="AF13" i="82"/>
  <c r="AC13" i="82"/>
  <c r="AD12" i="82"/>
  <c r="AE12" i="82"/>
  <c r="AG12" i="82"/>
  <c r="AH12" i="82"/>
  <c r="Q13" i="82"/>
  <c r="AA14" i="82"/>
  <c r="AB14" i="82" s="1"/>
  <c r="X15" i="82"/>
  <c r="O15" i="82"/>
  <c r="L16" i="82"/>
  <c r="P14" i="82"/>
  <c r="T14" i="82" s="1"/>
  <c r="G16" i="72"/>
  <c r="D18" i="72"/>
  <c r="J14" i="69"/>
  <c r="K14" i="69" s="1"/>
  <c r="M14" i="69" s="1"/>
  <c r="H25" i="69"/>
  <c r="I25" i="69" s="1"/>
  <c r="H15" i="69"/>
  <c r="F15" i="69" s="1"/>
  <c r="H13" i="69"/>
  <c r="H5" i="69"/>
  <c r="F5" i="69" s="1"/>
  <c r="H24" i="69"/>
  <c r="F24" i="69" s="1"/>
  <c r="H16" i="69"/>
  <c r="I16" i="69" s="1"/>
  <c r="H6" i="69"/>
  <c r="I6" i="69" s="1"/>
  <c r="H26" i="69"/>
  <c r="I26" i="69" s="1"/>
  <c r="H29" i="69"/>
  <c r="I29" i="69" s="1"/>
  <c r="H21" i="69"/>
  <c r="I21" i="69" s="1"/>
  <c r="H4" i="69"/>
  <c r="I4" i="69" s="1"/>
  <c r="H7" i="69"/>
  <c r="I7" i="69" s="1"/>
  <c r="H8" i="69"/>
  <c r="I8" i="69" s="1"/>
  <c r="H28" i="69"/>
  <c r="I28" i="69" s="1"/>
  <c r="H12" i="69"/>
  <c r="I12" i="69" s="1"/>
  <c r="H20" i="69"/>
  <c r="I20" i="69" s="1"/>
  <c r="H9" i="69"/>
  <c r="I9" i="69" s="1"/>
  <c r="H19" i="69"/>
  <c r="I19" i="69" s="1"/>
  <c r="H23" i="69"/>
  <c r="F23" i="69" s="1"/>
  <c r="H14" i="69"/>
  <c r="F14" i="69" s="1"/>
  <c r="H11" i="69"/>
  <c r="I11" i="69" s="1"/>
  <c r="H18" i="69"/>
  <c r="I18" i="69" s="1"/>
  <c r="H22" i="69"/>
  <c r="I22" i="69" s="1"/>
  <c r="H10" i="69"/>
  <c r="F10" i="69" s="1"/>
  <c r="H27" i="69"/>
  <c r="I27" i="69" s="1"/>
  <c r="H17" i="69"/>
  <c r="I17" i="69" s="1"/>
  <c r="O47" i="62"/>
  <c r="J55" i="62"/>
  <c r="J48" i="62"/>
  <c r="O54" i="62"/>
  <c r="H38" i="62"/>
  <c r="J38" i="62"/>
  <c r="K26" i="62"/>
  <c r="J46" i="62"/>
  <c r="J57" i="62"/>
  <c r="G26" i="62"/>
  <c r="J54" i="62"/>
  <c r="H43" i="62"/>
  <c r="J43" i="62"/>
  <c r="J42" i="62"/>
  <c r="H42" i="62"/>
  <c r="J58" i="62"/>
  <c r="G18" i="62"/>
  <c r="J47" i="62"/>
  <c r="O52" i="62"/>
  <c r="H41" i="62"/>
  <c r="J41" i="62"/>
  <c r="J52" i="62"/>
  <c r="L58" i="62"/>
  <c r="O58" i="62"/>
  <c r="J53" i="62"/>
  <c r="J59" i="62"/>
  <c r="H59" i="62"/>
  <c r="O46" i="62"/>
  <c r="O53" i="62"/>
  <c r="O57" i="62"/>
  <c r="L57" i="62"/>
  <c r="F17" i="62"/>
  <c r="M17" i="62"/>
  <c r="N17" i="62" s="1"/>
  <c r="F19" i="62"/>
  <c r="M19" i="62"/>
  <c r="N19" i="62" s="1"/>
  <c r="H51" i="62"/>
  <c r="J51" i="62"/>
  <c r="F23" i="62"/>
  <c r="M23" i="62"/>
  <c r="N23" i="62" s="1"/>
  <c r="F21" i="62"/>
  <c r="M21" i="62"/>
  <c r="N21" i="62" s="1"/>
  <c r="H60" i="62"/>
  <c r="J60" i="62"/>
  <c r="L26" i="62"/>
  <c r="O26" i="62"/>
  <c r="F24" i="62"/>
  <c r="M24" i="62"/>
  <c r="N24" i="62" s="1"/>
  <c r="F11" i="62"/>
  <c r="G11" i="62" s="1"/>
  <c r="M11" i="62"/>
  <c r="N11" i="62" s="1"/>
  <c r="H62" i="62"/>
  <c r="J62" i="62"/>
  <c r="I6" i="62"/>
  <c r="J6" i="62" s="1"/>
  <c r="F9" i="62"/>
  <c r="M9" i="62"/>
  <c r="N9" i="62" s="1"/>
  <c r="F31" i="62"/>
  <c r="M31" i="62"/>
  <c r="N31" i="62" s="1"/>
  <c r="L49" i="62"/>
  <c r="O49" i="62"/>
  <c r="L48" i="62"/>
  <c r="O48" i="62"/>
  <c r="F14" i="62"/>
  <c r="G14" i="62" s="1"/>
  <c r="M14" i="62"/>
  <c r="N14" i="62" s="1"/>
  <c r="G7" i="62"/>
  <c r="F28" i="62"/>
  <c r="M28" i="62"/>
  <c r="N28" i="62" s="1"/>
  <c r="H61" i="62"/>
  <c r="J61" i="62"/>
  <c r="H63" i="62"/>
  <c r="J63" i="62"/>
  <c r="F2" i="62"/>
  <c r="M2" i="62"/>
  <c r="N2" i="62" s="1"/>
  <c r="F30" i="62"/>
  <c r="G30" i="62" s="1"/>
  <c r="M30" i="62"/>
  <c r="N30" i="62" s="1"/>
  <c r="I7" i="62"/>
  <c r="J7" i="62" s="1"/>
  <c r="F13" i="62"/>
  <c r="G13" i="62" s="1"/>
  <c r="M13" i="62"/>
  <c r="N13" i="62" s="1"/>
  <c r="O37" i="62"/>
  <c r="F4" i="62"/>
  <c r="M4" i="62"/>
  <c r="N4" i="62" s="1"/>
  <c r="J44" i="62"/>
  <c r="H44" i="62"/>
  <c r="F29" i="62"/>
  <c r="M29" i="62"/>
  <c r="N29" i="62" s="1"/>
  <c r="H5" i="62"/>
  <c r="F15" i="62"/>
  <c r="G15" i="62" s="1"/>
  <c r="M15" i="62"/>
  <c r="N15" i="62" s="1"/>
  <c r="F33" i="62"/>
  <c r="I33" i="62" s="1"/>
  <c r="J33" i="62" s="1"/>
  <c r="M33" i="62"/>
  <c r="N33" i="62" s="1"/>
  <c r="H50" i="62"/>
  <c r="J50" i="62"/>
  <c r="F20" i="62"/>
  <c r="M20" i="62"/>
  <c r="N20" i="62" s="1"/>
  <c r="F8" i="62"/>
  <c r="M8" i="62"/>
  <c r="N8" i="62" s="1"/>
  <c r="F34" i="62"/>
  <c r="M34" i="62"/>
  <c r="N34" i="62" s="1"/>
  <c r="F22" i="62"/>
  <c r="M22" i="62"/>
  <c r="N22" i="62" s="1"/>
  <c r="J45" i="62"/>
  <c r="H45" i="62"/>
  <c r="K35" i="62"/>
  <c r="F16" i="62"/>
  <c r="I16" i="62" s="1"/>
  <c r="H16" i="62" s="1"/>
  <c r="M16" i="62"/>
  <c r="N16" i="62" s="1"/>
  <c r="I35" i="62"/>
  <c r="H35" i="62" s="1"/>
  <c r="G6" i="62"/>
  <c r="F32" i="62"/>
  <c r="M32" i="62"/>
  <c r="N32" i="62" s="1"/>
  <c r="F3" i="62"/>
  <c r="M3" i="62"/>
  <c r="N3" i="62" s="1"/>
  <c r="J18" i="62"/>
  <c r="H18" i="62"/>
  <c r="I9" i="62"/>
  <c r="K9" i="62"/>
  <c r="G9" i="62"/>
  <c r="J27" i="62"/>
  <c r="H27" i="62"/>
  <c r="J36" i="62"/>
  <c r="H36" i="62"/>
  <c r="H12" i="62"/>
  <c r="J12" i="62"/>
  <c r="H10" i="62"/>
  <c r="J10" i="62"/>
  <c r="J25" i="62"/>
  <c r="H25" i="62"/>
  <c r="J18" i="69" a="1"/>
  <c r="J20" i="69" a="1"/>
  <c r="J21" i="69" a="1"/>
  <c r="J25" i="69" a="1"/>
  <c r="E21" i="72" a="1"/>
  <c r="J10" i="69" a="1"/>
  <c r="D17" i="72" a="1"/>
  <c r="J5" i="69" a="1"/>
  <c r="J19" i="69" a="1"/>
  <c r="J4" i="69" a="1"/>
  <c r="E12" i="72" a="1"/>
  <c r="J27" i="69" a="1"/>
  <c r="J24" i="69" a="1"/>
  <c r="J3" i="69" a="1"/>
  <c r="J13" i="69" a="1"/>
  <c r="J29" i="69" a="1"/>
  <c r="J6" i="69" a="1"/>
  <c r="J8" i="69" a="1"/>
  <c r="E18" i="72" a="1"/>
  <c r="J7" i="69" a="1"/>
  <c r="J26" i="69" a="1"/>
  <c r="E17" i="72" a="1"/>
  <c r="J16" i="69" a="1"/>
  <c r="J17" i="69" a="1"/>
  <c r="J12" i="69" a="1"/>
  <c r="D8" i="72" a="1"/>
  <c r="J15" i="69" a="1"/>
  <c r="J22" i="69" a="1"/>
  <c r="J9" i="69" a="1"/>
  <c r="J23" i="69" a="1"/>
  <c r="J28" i="69" a="1"/>
  <c r="D12" i="72" a="1"/>
  <c r="J11" i="69" a="1"/>
  <c r="E8" i="72" a="1"/>
  <c r="AF14" i="82" l="1"/>
  <c r="AC14" i="82"/>
  <c r="R13" i="82"/>
  <c r="S13" i="82"/>
  <c r="AD13" i="82"/>
  <c r="AE13" i="82"/>
  <c r="V14" i="82"/>
  <c r="U14" i="82"/>
  <c r="AH13" i="82"/>
  <c r="AG13" i="82"/>
  <c r="Q14" i="82"/>
  <c r="AA15" i="82"/>
  <c r="AB15" i="82" s="1"/>
  <c r="X16" i="82"/>
  <c r="O16" i="82"/>
  <c r="P15" i="82"/>
  <c r="T15" i="82" s="1"/>
  <c r="L17" i="82"/>
  <c r="J6" i="69"/>
  <c r="K6" i="69" s="1"/>
  <c r="M6" i="69" s="1"/>
  <c r="J11" i="69"/>
  <c r="K11" i="69" s="1"/>
  <c r="M11" i="69" s="1"/>
  <c r="J25" i="69"/>
  <c r="K25" i="69" s="1"/>
  <c r="M25" i="69" s="1"/>
  <c r="J4" i="69"/>
  <c r="K4" i="69" s="1"/>
  <c r="M4" i="69" s="1"/>
  <c r="E18" i="72"/>
  <c r="E21" i="72"/>
  <c r="J20" i="69"/>
  <c r="K20" i="69" s="1"/>
  <c r="M20" i="69" s="1"/>
  <c r="J24" i="69"/>
  <c r="K24" i="69" s="1"/>
  <c r="M24" i="69" s="1"/>
  <c r="F22" i="69"/>
  <c r="J12" i="69"/>
  <c r="K12" i="69" s="1"/>
  <c r="M12" i="69" s="1"/>
  <c r="J22" i="69"/>
  <c r="K22" i="69" s="1"/>
  <c r="M22" i="69" s="1"/>
  <c r="J10" i="69"/>
  <c r="K10" i="69" s="1"/>
  <c r="M10" i="69" s="1"/>
  <c r="J28" i="69"/>
  <c r="K28" i="69" s="1"/>
  <c r="M28" i="69" s="1"/>
  <c r="J23" i="69"/>
  <c r="K23" i="69" s="1"/>
  <c r="M23" i="69" s="1"/>
  <c r="F19" i="69"/>
  <c r="D21" i="72"/>
  <c r="D8" i="72"/>
  <c r="D12" i="72"/>
  <c r="D17" i="72"/>
  <c r="E17" i="72"/>
  <c r="E8" i="72"/>
  <c r="E12" i="72"/>
  <c r="F9" i="69"/>
  <c r="I5" i="72"/>
  <c r="P5" i="69"/>
  <c r="I24" i="69"/>
  <c r="F28" i="69"/>
  <c r="F13" i="69"/>
  <c r="S5" i="72"/>
  <c r="F21" i="69"/>
  <c r="F29" i="69"/>
  <c r="I5" i="69"/>
  <c r="F20" i="69"/>
  <c r="J27" i="69"/>
  <c r="K27" i="69" s="1"/>
  <c r="M27" i="69" s="1"/>
  <c r="J17" i="69"/>
  <c r="K17" i="69" s="1"/>
  <c r="M17" i="69" s="1"/>
  <c r="J19" i="69"/>
  <c r="K19" i="69" s="1"/>
  <c r="M19" i="69" s="1"/>
  <c r="J26" i="69"/>
  <c r="K26" i="69" s="1"/>
  <c r="M26" i="69" s="1"/>
  <c r="J5" i="69"/>
  <c r="K5" i="69" s="1"/>
  <c r="M5" i="69" s="1"/>
  <c r="J18" i="69"/>
  <c r="K18" i="69" s="1"/>
  <c r="M18" i="69" s="1"/>
  <c r="J13" i="69"/>
  <c r="K13" i="69" s="1"/>
  <c r="J29" i="69"/>
  <c r="K29" i="69" s="1"/>
  <c r="J3" i="69"/>
  <c r="K3" i="69" s="1"/>
  <c r="P25" i="69" s="1"/>
  <c r="J21" i="69"/>
  <c r="K21" i="69" s="1"/>
  <c r="M21" i="69" s="1"/>
  <c r="J8" i="69"/>
  <c r="K8" i="69" s="1"/>
  <c r="M8" i="69" s="1"/>
  <c r="J9" i="69"/>
  <c r="K9" i="69" s="1"/>
  <c r="M9" i="69" s="1"/>
  <c r="J16" i="69"/>
  <c r="K16" i="69" s="1"/>
  <c r="M16" i="69" s="1"/>
  <c r="J15" i="69"/>
  <c r="K15" i="69" s="1"/>
  <c r="M15" i="69" s="1"/>
  <c r="J7" i="69"/>
  <c r="K7" i="69" s="1"/>
  <c r="M7" i="69" s="1"/>
  <c r="I3" i="69"/>
  <c r="I15" i="69"/>
  <c r="F6" i="69"/>
  <c r="I13" i="69"/>
  <c r="W5" i="69"/>
  <c r="W6" i="69" s="1"/>
  <c r="W7" i="69" s="1"/>
  <c r="W8" i="69" s="1"/>
  <c r="W9" i="69" s="1"/>
  <c r="W10" i="69" s="1"/>
  <c r="W11" i="69" s="1"/>
  <c r="W12" i="69" s="1"/>
  <c r="W13" i="69" s="1"/>
  <c r="W14" i="69" s="1"/>
  <c r="W15" i="69" s="1"/>
  <c r="W16" i="69" s="1"/>
  <c r="W17" i="69" s="1"/>
  <c r="W18" i="69" s="1"/>
  <c r="W19" i="69" s="1"/>
  <c r="W20" i="69" s="1"/>
  <c r="W21" i="69" s="1"/>
  <c r="W22" i="69" s="1"/>
  <c r="W23" i="69" s="1"/>
  <c r="W24" i="69" s="1"/>
  <c r="W25" i="69" s="1"/>
  <c r="W26" i="69" s="1"/>
  <c r="W27" i="69" s="1"/>
  <c r="W28" i="69" s="1"/>
  <c r="W29" i="69" s="1"/>
  <c r="W30" i="69" s="1"/>
  <c r="W31" i="69" s="1"/>
  <c r="W32" i="69" s="1"/>
  <c r="W33" i="69" s="1"/>
  <c r="W34" i="69" s="1"/>
  <c r="I14" i="69"/>
  <c r="F27" i="69"/>
  <c r="F8" i="69"/>
  <c r="F18" i="69"/>
  <c r="F16" i="69"/>
  <c r="F11" i="69"/>
  <c r="F4" i="69"/>
  <c r="F17" i="69"/>
  <c r="F7" i="69"/>
  <c r="F26" i="69"/>
  <c r="I10" i="69"/>
  <c r="I23" i="69"/>
  <c r="F3" i="69"/>
  <c r="F25" i="69"/>
  <c r="F12" i="69"/>
  <c r="L38" i="62"/>
  <c r="O38" i="62"/>
  <c r="K11" i="62"/>
  <c r="K15" i="62"/>
  <c r="O41" i="62"/>
  <c r="L41" i="62"/>
  <c r="O59" i="62"/>
  <c r="L59" i="62"/>
  <c r="K16" i="62"/>
  <c r="I15" i="62"/>
  <c r="H15" i="62" s="1"/>
  <c r="O15" i="62" s="1"/>
  <c r="I11" i="62"/>
  <c r="L42" i="62"/>
  <c r="O42" i="62"/>
  <c r="H33" i="62"/>
  <c r="L33" i="62" s="1"/>
  <c r="L43" i="62"/>
  <c r="O43" i="62"/>
  <c r="L35" i="62"/>
  <c r="O35" i="62"/>
  <c r="L16" i="62"/>
  <c r="O16" i="62"/>
  <c r="I3" i="62"/>
  <c r="G3" i="62"/>
  <c r="K3" i="62"/>
  <c r="L27" i="62"/>
  <c r="O27" i="62"/>
  <c r="G20" i="62"/>
  <c r="K20" i="62"/>
  <c r="I20" i="62"/>
  <c r="K14" i="62"/>
  <c r="L50" i="62"/>
  <c r="O50" i="62"/>
  <c r="L18" i="62"/>
  <c r="O18" i="62"/>
  <c r="G16" i="62"/>
  <c r="I2" i="62"/>
  <c r="K2" i="62"/>
  <c r="G2" i="62"/>
  <c r="K30" i="62"/>
  <c r="L45" i="62"/>
  <c r="O45" i="62"/>
  <c r="L5" i="62"/>
  <c r="O5" i="62"/>
  <c r="J35" i="62"/>
  <c r="I30" i="62"/>
  <c r="H30" i="62" s="1"/>
  <c r="K33" i="62"/>
  <c r="L63" i="62"/>
  <c r="O63" i="62"/>
  <c r="K23" i="62"/>
  <c r="G23" i="62"/>
  <c r="I23" i="62"/>
  <c r="J16" i="62"/>
  <c r="I13" i="62"/>
  <c r="L25" i="62"/>
  <c r="O25" i="62"/>
  <c r="L12" i="62"/>
  <c r="O12" i="62"/>
  <c r="H6" i="62"/>
  <c r="K22" i="62"/>
  <c r="G22" i="62"/>
  <c r="I22" i="62"/>
  <c r="G29" i="62"/>
  <c r="I29" i="62"/>
  <c r="K29" i="62"/>
  <c r="O61" i="62"/>
  <c r="L61" i="62"/>
  <c r="O62" i="62"/>
  <c r="L62" i="62"/>
  <c r="L51" i="62"/>
  <c r="O51" i="62"/>
  <c r="H7" i="62"/>
  <c r="G33" i="62"/>
  <c r="L44" i="62"/>
  <c r="O44" i="62"/>
  <c r="I32" i="62"/>
  <c r="K32" i="62"/>
  <c r="G32" i="62"/>
  <c r="I14" i="62"/>
  <c r="J14" i="62" s="1"/>
  <c r="O60" i="62"/>
  <c r="L60" i="62"/>
  <c r="G31" i="62"/>
  <c r="I31" i="62"/>
  <c r="K31" i="62"/>
  <c r="L10" i="62"/>
  <c r="O10" i="62"/>
  <c r="K13" i="62"/>
  <c r="G21" i="62"/>
  <c r="K21" i="62"/>
  <c r="I21" i="62"/>
  <c r="L36" i="62"/>
  <c r="O36" i="62"/>
  <c r="I34" i="62"/>
  <c r="K34" i="62"/>
  <c r="G34" i="62"/>
  <c r="G28" i="62"/>
  <c r="I28" i="62"/>
  <c r="K28" i="62"/>
  <c r="K19" i="62"/>
  <c r="I19" i="62"/>
  <c r="G19" i="62"/>
  <c r="G8" i="62"/>
  <c r="I8" i="62"/>
  <c r="K8" i="62"/>
  <c r="I4" i="62"/>
  <c r="G4" i="62"/>
  <c r="K4" i="62"/>
  <c r="I24" i="62"/>
  <c r="G24" i="62"/>
  <c r="K24" i="62"/>
  <c r="I17" i="62"/>
  <c r="K17" i="62"/>
  <c r="G17" i="62"/>
  <c r="H14" i="62"/>
  <c r="H9" i="62"/>
  <c r="J9" i="62"/>
  <c r="Q25" i="69" a="1"/>
  <c r="O25" i="69" a="1"/>
  <c r="K5" i="72" a="1"/>
  <c r="U5" i="72" a="1"/>
  <c r="Q5" i="69" a="1"/>
  <c r="X5" i="69" a="1"/>
  <c r="W35" i="69" a="1"/>
  <c r="K5" i="72" l="1"/>
  <c r="AF15" i="82"/>
  <c r="AC15" i="82"/>
  <c r="R14" i="82"/>
  <c r="S14" i="82"/>
  <c r="V15" i="82"/>
  <c r="U15" i="82"/>
  <c r="AD14" i="82"/>
  <c r="AE14" i="82"/>
  <c r="AG14" i="82"/>
  <c r="AH14" i="82"/>
  <c r="Q15" i="82"/>
  <c r="AA16" i="82"/>
  <c r="AB16" i="82" s="1"/>
  <c r="X17" i="82"/>
  <c r="O17" i="82"/>
  <c r="L18" i="82"/>
  <c r="P16" i="82"/>
  <c r="T16" i="82" s="1"/>
  <c r="W35" i="69"/>
  <c r="U5" i="72"/>
  <c r="M3" i="69"/>
  <c r="M13" i="69"/>
  <c r="S6" i="72"/>
  <c r="I6" i="72"/>
  <c r="X5" i="69"/>
  <c r="Q5" i="69"/>
  <c r="S5" i="69" s="1"/>
  <c r="M29" i="69"/>
  <c r="P6" i="69"/>
  <c r="O25" i="69"/>
  <c r="Q25" i="69"/>
  <c r="J30" i="62"/>
  <c r="J15" i="62"/>
  <c r="O33" i="62"/>
  <c r="L15" i="62"/>
  <c r="H11" i="62"/>
  <c r="J11" i="62"/>
  <c r="J4" i="62"/>
  <c r="H4" i="62"/>
  <c r="J19" i="62"/>
  <c r="H19" i="62"/>
  <c r="J2" i="62"/>
  <c r="H2" i="62"/>
  <c r="H23" i="62"/>
  <c r="J23" i="62"/>
  <c r="J3" i="62"/>
  <c r="H3" i="62"/>
  <c r="J28" i="62"/>
  <c r="H28" i="62"/>
  <c r="H17" i="62"/>
  <c r="J17" i="62"/>
  <c r="H29" i="62"/>
  <c r="J29" i="62"/>
  <c r="J34" i="62"/>
  <c r="H34" i="62"/>
  <c r="H22" i="62"/>
  <c r="J22" i="62"/>
  <c r="L30" i="62"/>
  <c r="O30" i="62"/>
  <c r="J8" i="62"/>
  <c r="H8" i="62"/>
  <c r="L7" i="62"/>
  <c r="O7" i="62"/>
  <c r="L9" i="62"/>
  <c r="O9" i="62"/>
  <c r="H13" i="62"/>
  <c r="J13" i="62"/>
  <c r="L14" i="62"/>
  <c r="O14" i="62"/>
  <c r="H31" i="62"/>
  <c r="J31" i="62"/>
  <c r="J24" i="62"/>
  <c r="H24" i="62"/>
  <c r="H32" i="62"/>
  <c r="J32" i="62"/>
  <c r="J20" i="62"/>
  <c r="H20" i="62"/>
  <c r="J21" i="62"/>
  <c r="H21" i="62"/>
  <c r="L6" i="62"/>
  <c r="O6" i="62"/>
  <c r="Q6" i="69" a="1"/>
  <c r="O5" i="69" a="1"/>
  <c r="K6" i="72" a="1"/>
  <c r="V5" i="69" a="1"/>
  <c r="X6" i="69" a="1"/>
  <c r="T5" i="72" a="1"/>
  <c r="J5" i="72" a="1"/>
  <c r="X35" i="69" a="1"/>
  <c r="U6" i="72" a="1"/>
  <c r="AF16" i="82" l="1"/>
  <c r="AC16" i="82"/>
  <c r="AE15" i="82"/>
  <c r="AD15" i="82"/>
  <c r="AG15" i="82"/>
  <c r="AH15" i="82"/>
  <c r="R15" i="82"/>
  <c r="S15" i="82"/>
  <c r="V16" i="82"/>
  <c r="U16" i="82"/>
  <c r="Q16" i="82"/>
  <c r="AA17" i="82"/>
  <c r="AB17" i="82" s="1"/>
  <c r="X18" i="82"/>
  <c r="O18" i="82"/>
  <c r="L19" i="82"/>
  <c r="P17" i="82"/>
  <c r="T17" i="82" s="1"/>
  <c r="T5" i="72"/>
  <c r="J5" i="72"/>
  <c r="K6" i="72"/>
  <c r="U6" i="72"/>
  <c r="I7" i="72"/>
  <c r="S7" i="72"/>
  <c r="L5" i="72"/>
  <c r="M5" i="72" s="1"/>
  <c r="V5" i="72"/>
  <c r="W5" i="72" s="1"/>
  <c r="Q6" i="69"/>
  <c r="O5" i="69"/>
  <c r="V5" i="69"/>
  <c r="X6" i="69"/>
  <c r="X35" i="69"/>
  <c r="Y35" i="69" s="1"/>
  <c r="AA35" i="69" s="1"/>
  <c r="P7" i="69"/>
  <c r="R5" i="69"/>
  <c r="T5" i="69" s="1"/>
  <c r="Z5" i="69"/>
  <c r="Y5" i="69"/>
  <c r="AA5" i="69" s="1"/>
  <c r="R25" i="69"/>
  <c r="T25" i="69" s="1"/>
  <c r="S25" i="69"/>
  <c r="O11" i="62"/>
  <c r="L11" i="62"/>
  <c r="L29" i="62"/>
  <c r="O29" i="62"/>
  <c r="L13" i="62"/>
  <c r="O13" i="62"/>
  <c r="L17" i="62"/>
  <c r="O17" i="62"/>
  <c r="L3" i="62"/>
  <c r="O3" i="62"/>
  <c r="L20" i="62"/>
  <c r="O20" i="62"/>
  <c r="L8" i="62"/>
  <c r="O8" i="62"/>
  <c r="L23" i="62"/>
  <c r="O23" i="62"/>
  <c r="L2" i="62"/>
  <c r="O2" i="62"/>
  <c r="L32" i="62"/>
  <c r="O32" i="62"/>
  <c r="L24" i="62"/>
  <c r="O24" i="62"/>
  <c r="L19" i="62"/>
  <c r="O19" i="62"/>
  <c r="L28" i="62"/>
  <c r="O28" i="62"/>
  <c r="L21" i="62"/>
  <c r="O21" i="62"/>
  <c r="L22" i="62"/>
  <c r="O22" i="62"/>
  <c r="L34" i="62"/>
  <c r="O34" i="62"/>
  <c r="L4" i="62"/>
  <c r="O4" i="62"/>
  <c r="L31" i="62"/>
  <c r="O31" i="62"/>
  <c r="X7" i="69" a="1"/>
  <c r="O6" i="69" a="1"/>
  <c r="V35" i="69" a="1"/>
  <c r="U7" i="72" a="1"/>
  <c r="J6" i="72" a="1"/>
  <c r="V6" i="69" a="1"/>
  <c r="T6" i="72" a="1"/>
  <c r="K7" i="72" a="1"/>
  <c r="Q7" i="69" a="1"/>
  <c r="V17" i="82" l="1"/>
  <c r="U17" i="82"/>
  <c r="R16" i="82"/>
  <c r="S16" i="82"/>
  <c r="AF17" i="82"/>
  <c r="AC17" i="82"/>
  <c r="AD16" i="82"/>
  <c r="AE16" i="82"/>
  <c r="AH16" i="82"/>
  <c r="AG16" i="82"/>
  <c r="Q17" i="82"/>
  <c r="AA18" i="82"/>
  <c r="AB18" i="82" s="1"/>
  <c r="X19" i="82"/>
  <c r="O19" i="82"/>
  <c r="L20" i="82"/>
  <c r="P18" i="82"/>
  <c r="T18" i="82" s="1"/>
  <c r="Z35" i="69"/>
  <c r="X5" i="72"/>
  <c r="P5" i="72"/>
  <c r="Z5" i="72"/>
  <c r="J6" i="72"/>
  <c r="T6" i="72"/>
  <c r="U7" i="72"/>
  <c r="K7" i="72"/>
  <c r="N5" i="72"/>
  <c r="S8" i="72"/>
  <c r="I8" i="72"/>
  <c r="V6" i="72"/>
  <c r="W6" i="72" s="1"/>
  <c r="L6" i="72"/>
  <c r="M6" i="72" s="1"/>
  <c r="V6" i="69"/>
  <c r="V35" i="69"/>
  <c r="X7" i="69"/>
  <c r="Q7" i="69"/>
  <c r="O6" i="69"/>
  <c r="P8" i="69"/>
  <c r="Z6" i="69"/>
  <c r="Y6" i="69"/>
  <c r="AA6" i="69" s="1"/>
  <c r="S6" i="69"/>
  <c r="R6" i="69"/>
  <c r="T6" i="69" s="1"/>
  <c r="Y5" i="72" a="1"/>
  <c r="J7" i="72" a="1"/>
  <c r="V7" i="69" a="1"/>
  <c r="X8" i="69" a="1"/>
  <c r="K8" i="72" a="1"/>
  <c r="T7" i="72" a="1"/>
  <c r="O7" i="69" a="1"/>
  <c r="U8" i="72" a="1"/>
  <c r="Q8" i="69" a="1"/>
  <c r="AF18" i="82" l="1"/>
  <c r="AC18" i="82"/>
  <c r="V18" i="82"/>
  <c r="U18" i="82"/>
  <c r="R17" i="82"/>
  <c r="S17" i="82"/>
  <c r="AD17" i="82"/>
  <c r="AE17" i="82"/>
  <c r="AH17" i="82"/>
  <c r="AG17" i="82"/>
  <c r="Q18" i="82"/>
  <c r="AA19" i="82"/>
  <c r="AB19" i="82" s="1"/>
  <c r="X20" i="82"/>
  <c r="O20" i="82"/>
  <c r="L21" i="82"/>
  <c r="P19" i="82"/>
  <c r="T19" i="82" s="1"/>
  <c r="Y5" i="72"/>
  <c r="O5" i="72"/>
  <c r="Q5" i="72"/>
  <c r="N6" i="72"/>
  <c r="Z6" i="72"/>
  <c r="P6" i="72"/>
  <c r="T7" i="72"/>
  <c r="U8" i="72"/>
  <c r="K8" i="72"/>
  <c r="J7" i="72"/>
  <c r="X6" i="72"/>
  <c r="S9" i="72"/>
  <c r="I9" i="72"/>
  <c r="L7" i="72"/>
  <c r="M7" i="72" s="1"/>
  <c r="V7" i="72"/>
  <c r="W7" i="72" s="1"/>
  <c r="V7" i="69"/>
  <c r="O7" i="69"/>
  <c r="Q8" i="69"/>
  <c r="X8" i="69"/>
  <c r="P9" i="69"/>
  <c r="R7" i="69"/>
  <c r="T7" i="69" s="1"/>
  <c r="S7" i="69"/>
  <c r="Z7" i="69"/>
  <c r="Y7" i="69"/>
  <c r="AA7" i="69" s="1"/>
  <c r="K9" i="72" a="1"/>
  <c r="AA5" i="72" a="1"/>
  <c r="V8" i="69" a="1"/>
  <c r="J8" i="72" a="1"/>
  <c r="T8" i="72" a="1"/>
  <c r="U9" i="72" a="1"/>
  <c r="X9" i="69" a="1"/>
  <c r="Y6" i="72" a="1"/>
  <c r="O8" i="69" a="1"/>
  <c r="Q9" i="69" a="1"/>
  <c r="U19" i="82" l="1"/>
  <c r="V19" i="82"/>
  <c r="AF19" i="82"/>
  <c r="AC19" i="82"/>
  <c r="AD18" i="82"/>
  <c r="AE18" i="82"/>
  <c r="R18" i="82"/>
  <c r="S18" i="82"/>
  <c r="AH18" i="82"/>
  <c r="AG18" i="82"/>
  <c r="Q19" i="82"/>
  <c r="AA20" i="82"/>
  <c r="AB20" i="82" s="1"/>
  <c r="X21" i="82"/>
  <c r="O21" i="82"/>
  <c r="L22" i="82"/>
  <c r="P20" i="82"/>
  <c r="T20" i="82" s="1"/>
  <c r="AA5" i="72"/>
  <c r="Y6" i="72"/>
  <c r="O6" i="72"/>
  <c r="Q6" i="72"/>
  <c r="N7" i="72"/>
  <c r="Z7" i="72"/>
  <c r="P7" i="72"/>
  <c r="T8" i="72"/>
  <c r="K9" i="72"/>
  <c r="J8" i="72"/>
  <c r="U9" i="72"/>
  <c r="X7" i="72"/>
  <c r="I10" i="72"/>
  <c r="S10" i="72"/>
  <c r="L8" i="72"/>
  <c r="M8" i="72" s="1"/>
  <c r="V8" i="72"/>
  <c r="W8" i="72" s="1"/>
  <c r="X9" i="69"/>
  <c r="O8" i="69"/>
  <c r="V8" i="69"/>
  <c r="Q9" i="69"/>
  <c r="P10" i="69"/>
  <c r="Z8" i="69"/>
  <c r="Y8" i="69"/>
  <c r="AA8" i="69" s="1"/>
  <c r="S8" i="69"/>
  <c r="R8" i="69"/>
  <c r="T8" i="69" s="1"/>
  <c r="AA6" i="72" a="1"/>
  <c r="X10" i="69" a="1"/>
  <c r="Y7" i="72" a="1"/>
  <c r="Q10" i="69" a="1"/>
  <c r="U10" i="72" a="1"/>
  <c r="T9" i="72" a="1"/>
  <c r="O9" i="69" a="1"/>
  <c r="V9" i="69" a="1"/>
  <c r="K10" i="72" a="1"/>
  <c r="J9" i="72" a="1"/>
  <c r="U20" i="82" l="1"/>
  <c r="V20" i="82"/>
  <c r="R19" i="82"/>
  <c r="S19" i="82"/>
  <c r="AD19" i="82"/>
  <c r="AE19" i="82"/>
  <c r="AH19" i="82"/>
  <c r="AG19" i="82"/>
  <c r="AF20" i="82"/>
  <c r="AC20" i="82"/>
  <c r="Q20" i="82"/>
  <c r="AA21" i="82"/>
  <c r="AB21" i="82" s="1"/>
  <c r="X22" i="82"/>
  <c r="O22" i="82"/>
  <c r="L23" i="82"/>
  <c r="P21" i="82"/>
  <c r="T21" i="82" s="1"/>
  <c r="N8" i="72"/>
  <c r="O8" i="72" s="1"/>
  <c r="Y7" i="72"/>
  <c r="AA6" i="72"/>
  <c r="O7" i="72"/>
  <c r="Q7" i="72"/>
  <c r="X8" i="72"/>
  <c r="Q8" i="72"/>
  <c r="P8" i="72"/>
  <c r="Z8" i="72"/>
  <c r="T9" i="72"/>
  <c r="U10" i="72"/>
  <c r="J9" i="72"/>
  <c r="K10" i="72"/>
  <c r="S11" i="72"/>
  <c r="I11" i="72"/>
  <c r="V9" i="72"/>
  <c r="W9" i="72" s="1"/>
  <c r="L9" i="72"/>
  <c r="M9" i="72" s="1"/>
  <c r="Q10" i="69"/>
  <c r="O9" i="69"/>
  <c r="V9" i="69"/>
  <c r="X10" i="69"/>
  <c r="P11" i="69"/>
  <c r="R9" i="69"/>
  <c r="T9" i="69" s="1"/>
  <c r="S9" i="69"/>
  <c r="Z9" i="69"/>
  <c r="Y9" i="69"/>
  <c r="AA9" i="69" s="1"/>
  <c r="X11" i="69" a="1"/>
  <c r="O10" i="69" a="1"/>
  <c r="Y8" i="72" a="1"/>
  <c r="Q11" i="69" a="1"/>
  <c r="T10" i="72" a="1"/>
  <c r="K11" i="72" a="1"/>
  <c r="J10" i="72" a="1"/>
  <c r="U11" i="72" a="1"/>
  <c r="V10" i="69" a="1"/>
  <c r="AA7" i="72" a="1"/>
  <c r="U21" i="82" l="1"/>
  <c r="V21" i="82"/>
  <c r="AF21" i="82"/>
  <c r="AC21" i="82"/>
  <c r="AH20" i="82"/>
  <c r="AG20" i="82"/>
  <c r="AD20" i="82"/>
  <c r="AE20" i="82"/>
  <c r="S20" i="82"/>
  <c r="R20" i="82"/>
  <c r="Q21" i="82"/>
  <c r="AA22" i="82"/>
  <c r="AB22" i="82" s="1"/>
  <c r="X23" i="82"/>
  <c r="O23" i="82"/>
  <c r="L24" i="82"/>
  <c r="P22" i="82"/>
  <c r="T22" i="82" s="1"/>
  <c r="N9" i="72"/>
  <c r="O9" i="72" s="1"/>
  <c r="AA7" i="72"/>
  <c r="Y8" i="72"/>
  <c r="X9" i="72"/>
  <c r="Z9" i="72"/>
  <c r="P9" i="72"/>
  <c r="J10" i="72"/>
  <c r="K11" i="72"/>
  <c r="T10" i="72"/>
  <c r="U11" i="72"/>
  <c r="I12" i="72"/>
  <c r="S12" i="72"/>
  <c r="L10" i="72"/>
  <c r="M10" i="72" s="1"/>
  <c r="V10" i="72"/>
  <c r="W10" i="72" s="1"/>
  <c r="V10" i="69"/>
  <c r="X11" i="69"/>
  <c r="O10" i="69"/>
  <c r="Q11" i="69"/>
  <c r="P12" i="69"/>
  <c r="Z10" i="69"/>
  <c r="Y10" i="69"/>
  <c r="AA10" i="69" s="1"/>
  <c r="R10" i="69"/>
  <c r="T10" i="69" s="1"/>
  <c r="S10" i="69"/>
  <c r="U12" i="72" a="1"/>
  <c r="Y9" i="72" a="1"/>
  <c r="T11" i="72" a="1"/>
  <c r="V11" i="69" a="1"/>
  <c r="X12" i="69" a="1"/>
  <c r="K12" i="72" a="1"/>
  <c r="Q12" i="69" a="1"/>
  <c r="J11" i="72" a="1"/>
  <c r="AA8" i="72" a="1"/>
  <c r="O11" i="69" a="1"/>
  <c r="V22" i="82" l="1"/>
  <c r="U22" i="82"/>
  <c r="R21" i="82"/>
  <c r="S21" i="82"/>
  <c r="AH21" i="82"/>
  <c r="AG21" i="82"/>
  <c r="AD21" i="82"/>
  <c r="AE21" i="82"/>
  <c r="AF22" i="82"/>
  <c r="AC22" i="82"/>
  <c r="Q22" i="82"/>
  <c r="AA23" i="82"/>
  <c r="AB23" i="82" s="1"/>
  <c r="X24" i="82"/>
  <c r="O24" i="82"/>
  <c r="L25" i="82"/>
  <c r="P23" i="82"/>
  <c r="T23" i="82" s="1"/>
  <c r="Q9" i="72"/>
  <c r="AA8" i="72"/>
  <c r="Y9" i="72"/>
  <c r="Z10" i="72"/>
  <c r="P10" i="72"/>
  <c r="T11" i="72"/>
  <c r="U12" i="72"/>
  <c r="K12" i="72"/>
  <c r="J11" i="72"/>
  <c r="X10" i="72"/>
  <c r="N10" i="72"/>
  <c r="S13" i="72"/>
  <c r="I13" i="72"/>
  <c r="V11" i="72"/>
  <c r="W11" i="72" s="1"/>
  <c r="L11" i="72"/>
  <c r="M11" i="72" s="1"/>
  <c r="V11" i="69"/>
  <c r="X12" i="69"/>
  <c r="O11" i="69"/>
  <c r="Q12" i="69"/>
  <c r="R11" i="69"/>
  <c r="T11" i="69" s="1"/>
  <c r="S11" i="69"/>
  <c r="Z11" i="69"/>
  <c r="Y11" i="69"/>
  <c r="AA11" i="69" s="1"/>
  <c r="P13" i="69"/>
  <c r="AA9" i="72" a="1"/>
  <c r="U13" i="72" a="1"/>
  <c r="T12" i="72" a="1"/>
  <c r="Q13" i="69" a="1"/>
  <c r="K13" i="72" a="1"/>
  <c r="Y10" i="72" a="1"/>
  <c r="J12" i="72" a="1"/>
  <c r="V12" i="69" a="1"/>
  <c r="O12" i="69" a="1"/>
  <c r="X13" i="69" a="1"/>
  <c r="R22" i="82" l="1"/>
  <c r="S22" i="82"/>
  <c r="AF23" i="82"/>
  <c r="AC23" i="82"/>
  <c r="AE22" i="82"/>
  <c r="AD22" i="82"/>
  <c r="U23" i="82"/>
  <c r="V23" i="82"/>
  <c r="AH22" i="82"/>
  <c r="AG22" i="82"/>
  <c r="Q23" i="82"/>
  <c r="AA24" i="82"/>
  <c r="AB24" i="82" s="1"/>
  <c r="X25" i="82"/>
  <c r="O25" i="82"/>
  <c r="L26" i="82"/>
  <c r="P24" i="82"/>
  <c r="T24" i="82" s="1"/>
  <c r="Y10" i="72"/>
  <c r="AA9" i="72"/>
  <c r="O10" i="72"/>
  <c r="Q10" i="72"/>
  <c r="P11" i="72"/>
  <c r="Z11" i="72"/>
  <c r="T12" i="72"/>
  <c r="J12" i="72"/>
  <c r="K13" i="72"/>
  <c r="U13" i="72"/>
  <c r="N11" i="72"/>
  <c r="X11" i="72"/>
  <c r="I14" i="72"/>
  <c r="S14" i="72"/>
  <c r="L12" i="72"/>
  <c r="M12" i="72" s="1"/>
  <c r="V12" i="72"/>
  <c r="W12" i="72" s="1"/>
  <c r="O12" i="69"/>
  <c r="V12" i="69"/>
  <c r="Q13" i="69"/>
  <c r="X13" i="69"/>
  <c r="P14" i="69"/>
  <c r="S12" i="69"/>
  <c r="R12" i="69"/>
  <c r="T12" i="69" s="1"/>
  <c r="Y12" i="69"/>
  <c r="AA12" i="69" s="1"/>
  <c r="Z12" i="69"/>
  <c r="U14" i="72" a="1"/>
  <c r="AA10" i="72" a="1"/>
  <c r="V13" i="69" a="1"/>
  <c r="O13" i="69" a="1"/>
  <c r="T13" i="72" a="1"/>
  <c r="Q14" i="69" a="1"/>
  <c r="X14" i="69" a="1"/>
  <c r="K14" i="72" a="1"/>
  <c r="Y11" i="72" a="1"/>
  <c r="J13" i="72" a="1"/>
  <c r="R23" i="82" l="1"/>
  <c r="S23" i="82"/>
  <c r="U24" i="82"/>
  <c r="V24" i="82"/>
  <c r="AE23" i="82"/>
  <c r="AD23" i="82"/>
  <c r="AF24" i="82"/>
  <c r="AC24" i="82"/>
  <c r="AH23" i="82"/>
  <c r="AG23" i="82"/>
  <c r="Q24" i="82"/>
  <c r="AA25" i="82"/>
  <c r="AB25" i="82" s="1"/>
  <c r="X26" i="82"/>
  <c r="O26" i="82"/>
  <c r="L27" i="82"/>
  <c r="P25" i="82"/>
  <c r="T25" i="82" s="1"/>
  <c r="X12" i="72"/>
  <c r="Y11" i="72"/>
  <c r="AA10" i="72"/>
  <c r="O11" i="72"/>
  <c r="Q11" i="72"/>
  <c r="Z12" i="72"/>
  <c r="P12" i="72"/>
  <c r="J13" i="72"/>
  <c r="T13" i="72"/>
  <c r="U14" i="72"/>
  <c r="K14" i="72"/>
  <c r="N12" i="72"/>
  <c r="V13" i="72"/>
  <c r="W13" i="72" s="1"/>
  <c r="L13" i="72"/>
  <c r="M13" i="72" s="1"/>
  <c r="S15" i="72"/>
  <c r="I15" i="72"/>
  <c r="O13" i="69"/>
  <c r="Q14" i="69"/>
  <c r="V13" i="69"/>
  <c r="X14" i="69"/>
  <c r="P15" i="69"/>
  <c r="Z13" i="69"/>
  <c r="Y13" i="69"/>
  <c r="AA13" i="69" s="1"/>
  <c r="S13" i="69"/>
  <c r="R13" i="69"/>
  <c r="T13" i="69" s="1"/>
  <c r="J14" i="72" a="1"/>
  <c r="Q15" i="69" a="1"/>
  <c r="Y12" i="72" a="1"/>
  <c r="T14" i="72" a="1"/>
  <c r="X15" i="69" a="1"/>
  <c r="O14" i="69" a="1"/>
  <c r="K15" i="72" a="1"/>
  <c r="AA11" i="72" a="1"/>
  <c r="V14" i="69" a="1"/>
  <c r="U15" i="72" a="1"/>
  <c r="AA12" i="72" a="1"/>
  <c r="U25" i="82" l="1"/>
  <c r="V25" i="82"/>
  <c r="R24" i="82"/>
  <c r="S24" i="82"/>
  <c r="AH24" i="82"/>
  <c r="AG24" i="82"/>
  <c r="AF25" i="82"/>
  <c r="AC25" i="82"/>
  <c r="AD24" i="82"/>
  <c r="AE24" i="82"/>
  <c r="Q25" i="82"/>
  <c r="AA26" i="82"/>
  <c r="AB26" i="82" s="1"/>
  <c r="X27" i="82"/>
  <c r="O27" i="82"/>
  <c r="L28" i="82"/>
  <c r="P26" i="82"/>
  <c r="T26" i="82" s="1"/>
  <c r="Y12" i="72"/>
  <c r="AA12" i="72"/>
  <c r="AA11" i="72"/>
  <c r="N13" i="72"/>
  <c r="O13" i="72" s="1"/>
  <c r="O12" i="72"/>
  <c r="Q12" i="72"/>
  <c r="P13" i="72"/>
  <c r="Z13" i="72"/>
  <c r="U15" i="72"/>
  <c r="J14" i="72"/>
  <c r="K15" i="72"/>
  <c r="T14" i="72"/>
  <c r="S16" i="72"/>
  <c r="I16" i="72"/>
  <c r="X13" i="72"/>
  <c r="L14" i="72"/>
  <c r="M14" i="72" s="1"/>
  <c r="V14" i="72"/>
  <c r="W14" i="72" s="1"/>
  <c r="V14" i="69"/>
  <c r="Q15" i="69"/>
  <c r="X15" i="69"/>
  <c r="O14" i="69"/>
  <c r="P16" i="69"/>
  <c r="R14" i="69"/>
  <c r="T14" i="69" s="1"/>
  <c r="S14" i="69"/>
  <c r="Y14" i="69"/>
  <c r="AA14" i="69" s="1"/>
  <c r="Z14" i="69"/>
  <c r="Y13" i="72" a="1"/>
  <c r="O15" i="69" a="1"/>
  <c r="X16" i="69" a="1"/>
  <c r="K16" i="72" a="1"/>
  <c r="V15" i="69" a="1"/>
  <c r="U16" i="72" a="1"/>
  <c r="Q16" i="69" a="1"/>
  <c r="J15" i="72" a="1"/>
  <c r="T15" i="72" a="1"/>
  <c r="AH25" i="82" l="1"/>
  <c r="AG25" i="82"/>
  <c r="AF26" i="82"/>
  <c r="AC26" i="82"/>
  <c r="Q13" i="72"/>
  <c r="R25" i="82"/>
  <c r="S25" i="82"/>
  <c r="U26" i="82"/>
  <c r="V26" i="82"/>
  <c r="AD25" i="82"/>
  <c r="AE25" i="82"/>
  <c r="Q26" i="82"/>
  <c r="AA27" i="82"/>
  <c r="AB27" i="82" s="1"/>
  <c r="X28" i="82"/>
  <c r="O28" i="82"/>
  <c r="L29" i="82"/>
  <c r="P27" i="82"/>
  <c r="T27" i="82" s="1"/>
  <c r="Y13" i="72"/>
  <c r="N14" i="72"/>
  <c r="X14" i="72"/>
  <c r="Z14" i="72"/>
  <c r="P14" i="72"/>
  <c r="J15" i="72"/>
  <c r="K16" i="72"/>
  <c r="U16" i="72"/>
  <c r="T15" i="72"/>
  <c r="I17" i="72"/>
  <c r="S17" i="72"/>
  <c r="L15" i="72"/>
  <c r="M15" i="72" s="1"/>
  <c r="V15" i="72"/>
  <c r="W15" i="72" s="1"/>
  <c r="X16" i="69"/>
  <c r="V15" i="69"/>
  <c r="O15" i="69"/>
  <c r="Q16" i="69"/>
  <c r="P17" i="69"/>
  <c r="Y15" i="69"/>
  <c r="AA15" i="69" s="1"/>
  <c r="Z15" i="69"/>
  <c r="R15" i="69"/>
  <c r="T15" i="69" s="1"/>
  <c r="S15" i="69"/>
  <c r="AA13" i="72" a="1"/>
  <c r="Y14" i="72" a="1"/>
  <c r="X17" i="69" a="1"/>
  <c r="Q17" i="69" a="1"/>
  <c r="K17" i="72" a="1"/>
  <c r="O16" i="69" a="1"/>
  <c r="V16" i="69" a="1"/>
  <c r="U17" i="72" a="1"/>
  <c r="T16" i="72" a="1"/>
  <c r="J16" i="72" a="1"/>
  <c r="R26" i="82" l="1"/>
  <c r="S26" i="82"/>
  <c r="AH26" i="82"/>
  <c r="AG26" i="82"/>
  <c r="AF27" i="82"/>
  <c r="AC27" i="82"/>
  <c r="AD26" i="82"/>
  <c r="AE26" i="82"/>
  <c r="V27" i="82"/>
  <c r="U27" i="82"/>
  <c r="Q27" i="82"/>
  <c r="AA28" i="82"/>
  <c r="AB28" i="82" s="1"/>
  <c r="X29" i="82"/>
  <c r="O29" i="82"/>
  <c r="L30" i="82"/>
  <c r="P28" i="82"/>
  <c r="T28" i="82" s="1"/>
  <c r="Y14" i="72"/>
  <c r="AA13" i="72"/>
  <c r="O14" i="72"/>
  <c r="Q14" i="72"/>
  <c r="X15" i="72"/>
  <c r="P15" i="72"/>
  <c r="N15" i="72"/>
  <c r="Z15" i="72"/>
  <c r="U17" i="72"/>
  <c r="T16" i="72"/>
  <c r="J16" i="72"/>
  <c r="K17" i="72"/>
  <c r="S18" i="72"/>
  <c r="I18" i="72"/>
  <c r="V16" i="72"/>
  <c r="W16" i="72" s="1"/>
  <c r="L16" i="72"/>
  <c r="M16" i="72" s="1"/>
  <c r="Q17" i="69"/>
  <c r="V16" i="69"/>
  <c r="X17" i="69"/>
  <c r="O16" i="69"/>
  <c r="P18" i="69"/>
  <c r="R16" i="69"/>
  <c r="T16" i="69" s="1"/>
  <c r="S16" i="69"/>
  <c r="Z16" i="69"/>
  <c r="Y16" i="69"/>
  <c r="AA16" i="69" s="1"/>
  <c r="X18" i="69" a="1"/>
  <c r="Y15" i="72" a="1"/>
  <c r="Q18" i="69" a="1"/>
  <c r="J17" i="72" a="1"/>
  <c r="AA14" i="72" a="1"/>
  <c r="V17" i="69" a="1"/>
  <c r="T17" i="72" a="1"/>
  <c r="U18" i="72" a="1"/>
  <c r="O17" i="69" a="1"/>
  <c r="K18" i="72" a="1"/>
  <c r="AD27" i="82" l="1"/>
  <c r="AE27" i="82"/>
  <c r="U28" i="82"/>
  <c r="V28" i="82"/>
  <c r="AF28" i="82"/>
  <c r="AC28" i="82"/>
  <c r="R27" i="82"/>
  <c r="S27" i="82"/>
  <c r="AH27" i="82"/>
  <c r="AG27" i="82"/>
  <c r="Q28" i="82"/>
  <c r="AA29" i="82"/>
  <c r="AB29" i="82" s="1"/>
  <c r="X30" i="82"/>
  <c r="O30" i="82"/>
  <c r="L31" i="82"/>
  <c r="P29" i="82"/>
  <c r="T29" i="82" s="1"/>
  <c r="AA14" i="72"/>
  <c r="Y15" i="72"/>
  <c r="O15" i="72"/>
  <c r="Q15" i="72"/>
  <c r="X16" i="72"/>
  <c r="N16" i="72"/>
  <c r="P16" i="72"/>
  <c r="Z16" i="72"/>
  <c r="J17" i="72"/>
  <c r="K18" i="72"/>
  <c r="T17" i="72"/>
  <c r="U18" i="72"/>
  <c r="I19" i="72"/>
  <c r="S19" i="72"/>
  <c r="L17" i="72"/>
  <c r="M17" i="72" s="1"/>
  <c r="V17" i="72"/>
  <c r="W17" i="72" s="1"/>
  <c r="X18" i="69"/>
  <c r="V17" i="69"/>
  <c r="O17" i="69"/>
  <c r="Q18" i="69"/>
  <c r="P19" i="69"/>
  <c r="Z17" i="69"/>
  <c r="Y17" i="69"/>
  <c r="AA17" i="69" s="1"/>
  <c r="R17" i="69"/>
  <c r="T17" i="69" s="1"/>
  <c r="S17" i="69"/>
  <c r="J18" i="72" a="1"/>
  <c r="T18" i="72" a="1"/>
  <c r="Y16" i="72" a="1"/>
  <c r="Q19" i="69" a="1"/>
  <c r="AA15" i="72" a="1"/>
  <c r="V18" i="69" a="1"/>
  <c r="X19" i="69" a="1"/>
  <c r="O18" i="69" a="1"/>
  <c r="U19" i="72" a="1"/>
  <c r="K19" i="72" a="1"/>
  <c r="U29" i="82" l="1"/>
  <c r="V29" i="82"/>
  <c r="S28" i="82"/>
  <c r="R28" i="82"/>
  <c r="AG28" i="82"/>
  <c r="AH28" i="82"/>
  <c r="AF29" i="82"/>
  <c r="AC29" i="82"/>
  <c r="AD28" i="82"/>
  <c r="AE28" i="82"/>
  <c r="Q29" i="82"/>
  <c r="AA30" i="82"/>
  <c r="AB30" i="82" s="1"/>
  <c r="X31" i="82"/>
  <c r="O31" i="82"/>
  <c r="L32" i="82"/>
  <c r="P30" i="82"/>
  <c r="T30" i="82" s="1"/>
  <c r="Y16" i="72"/>
  <c r="AA15" i="72"/>
  <c r="O16" i="72"/>
  <c r="Q16" i="72"/>
  <c r="P17" i="72"/>
  <c r="Z17" i="72"/>
  <c r="J18" i="72"/>
  <c r="U19" i="72"/>
  <c r="K19" i="72"/>
  <c r="T18" i="72"/>
  <c r="X17" i="72"/>
  <c r="N17" i="72"/>
  <c r="S20" i="72"/>
  <c r="V18" i="72"/>
  <c r="W18" i="72" s="1"/>
  <c r="I20" i="72"/>
  <c r="L18" i="72"/>
  <c r="M18" i="72" s="1"/>
  <c r="V18" i="69"/>
  <c r="O18" i="69"/>
  <c r="Q19" i="69"/>
  <c r="X19" i="69"/>
  <c r="S18" i="69"/>
  <c r="R18" i="69"/>
  <c r="T18" i="69" s="1"/>
  <c r="P20" i="69"/>
  <c r="Z18" i="69"/>
  <c r="Y18" i="69"/>
  <c r="AA18" i="69" s="1"/>
  <c r="Q20" i="69" a="1"/>
  <c r="O19" i="69" a="1"/>
  <c r="V19" i="69" a="1"/>
  <c r="K20" i="72" a="1"/>
  <c r="X20" i="69" a="1"/>
  <c r="J19" i="72" a="1"/>
  <c r="Y17" i="72" a="1"/>
  <c r="AA16" i="72" a="1"/>
  <c r="U20" i="72" a="1"/>
  <c r="T19" i="72" a="1"/>
  <c r="U30" i="82" l="1"/>
  <c r="V30" i="82"/>
  <c r="AH29" i="82"/>
  <c r="AG29" i="82"/>
  <c r="AD29" i="82"/>
  <c r="AE29" i="82"/>
  <c r="AF30" i="82"/>
  <c r="AC30" i="82"/>
  <c r="R29" i="82"/>
  <c r="S29" i="82"/>
  <c r="Q30" i="82"/>
  <c r="AA31" i="82"/>
  <c r="AB31" i="82" s="1"/>
  <c r="X32" i="82"/>
  <c r="O32" i="82"/>
  <c r="L33" i="82"/>
  <c r="P31" i="82"/>
  <c r="T31" i="82" s="1"/>
  <c r="Y17" i="72"/>
  <c r="AA16" i="72"/>
  <c r="O17" i="72"/>
  <c r="Q17" i="72"/>
  <c r="X18" i="72"/>
  <c r="P18" i="72"/>
  <c r="Z18" i="72"/>
  <c r="K20" i="72"/>
  <c r="T19" i="72"/>
  <c r="U20" i="72"/>
  <c r="J19" i="72"/>
  <c r="I21" i="72"/>
  <c r="N18" i="72"/>
  <c r="S21" i="72"/>
  <c r="L19" i="72"/>
  <c r="M19" i="72" s="1"/>
  <c r="V19" i="72"/>
  <c r="W19" i="72" s="1"/>
  <c r="V19" i="69"/>
  <c r="X20" i="69"/>
  <c r="O19" i="69"/>
  <c r="Q20" i="69"/>
  <c r="P21" i="69"/>
  <c r="Y19" i="69"/>
  <c r="AA19" i="69" s="1"/>
  <c r="Z19" i="69"/>
  <c r="S19" i="69"/>
  <c r="R19" i="69"/>
  <c r="T19" i="69" s="1"/>
  <c r="K21" i="72" a="1"/>
  <c r="X21" i="69" a="1"/>
  <c r="U21" i="72" a="1"/>
  <c r="T20" i="72" a="1"/>
  <c r="Y18" i="72" a="1"/>
  <c r="J20" i="72" a="1"/>
  <c r="AA17" i="72" a="1"/>
  <c r="V20" i="69" a="1"/>
  <c r="Q21" i="69" a="1"/>
  <c r="O20" i="69" a="1"/>
  <c r="AD30" i="82" l="1"/>
  <c r="AE30" i="82"/>
  <c r="U31" i="82"/>
  <c r="V31" i="82"/>
  <c r="AH30" i="82"/>
  <c r="AG30" i="82"/>
  <c r="AF31" i="82"/>
  <c r="AC31" i="82"/>
  <c r="R30" i="82"/>
  <c r="S30" i="82"/>
  <c r="Q31" i="82"/>
  <c r="AA32" i="82"/>
  <c r="AB32" i="82" s="1"/>
  <c r="X33" i="82"/>
  <c r="O33" i="82"/>
  <c r="L34" i="82"/>
  <c r="P32" i="82"/>
  <c r="T32" i="82" s="1"/>
  <c r="AA17" i="72"/>
  <c r="Y18" i="72"/>
  <c r="O18" i="72"/>
  <c r="Q18" i="72"/>
  <c r="N19" i="72"/>
  <c r="Z19" i="72"/>
  <c r="P19" i="72"/>
  <c r="T20" i="72"/>
  <c r="J20" i="72"/>
  <c r="U21" i="72"/>
  <c r="K21" i="72"/>
  <c r="X19" i="72"/>
  <c r="V20" i="72"/>
  <c r="W20" i="72" s="1"/>
  <c r="S22" i="72"/>
  <c r="I22" i="72"/>
  <c r="L20" i="72"/>
  <c r="M20" i="72" s="1"/>
  <c r="O20" i="69"/>
  <c r="Q21" i="69"/>
  <c r="V20" i="69"/>
  <c r="X21" i="69"/>
  <c r="P22" i="69"/>
  <c r="R20" i="69"/>
  <c r="T20" i="69" s="1"/>
  <c r="S20" i="69"/>
  <c r="Z20" i="69"/>
  <c r="Y20" i="69"/>
  <c r="AA20" i="69" s="1"/>
  <c r="U22" i="72" a="1"/>
  <c r="Y19" i="72" a="1"/>
  <c r="V21" i="69" a="1"/>
  <c r="Q22" i="69" a="1"/>
  <c r="J21" i="72" a="1"/>
  <c r="K22" i="72" a="1"/>
  <c r="T21" i="72" a="1"/>
  <c r="O21" i="69" a="1"/>
  <c r="AA18" i="72" a="1"/>
  <c r="X22" i="69" a="1"/>
  <c r="U32" i="82" l="1"/>
  <c r="V32" i="82"/>
  <c r="AF32" i="82"/>
  <c r="AC32" i="82"/>
  <c r="AE31" i="82"/>
  <c r="AD31" i="82"/>
  <c r="R31" i="82"/>
  <c r="S31" i="82"/>
  <c r="AG31" i="82"/>
  <c r="AH31" i="82"/>
  <c r="Q32" i="82"/>
  <c r="AA33" i="82"/>
  <c r="AB33" i="82" s="1"/>
  <c r="X34" i="82"/>
  <c r="O34" i="82"/>
  <c r="L35" i="82"/>
  <c r="P33" i="82"/>
  <c r="T33" i="82" s="1"/>
  <c r="Y19" i="72"/>
  <c r="AA18" i="72"/>
  <c r="O19" i="72"/>
  <c r="Q19" i="72"/>
  <c r="X20" i="72"/>
  <c r="Z20" i="72"/>
  <c r="P20" i="72"/>
  <c r="T21" i="72"/>
  <c r="U22" i="72"/>
  <c r="J21" i="72"/>
  <c r="K22" i="72"/>
  <c r="S23" i="72"/>
  <c r="L21" i="72"/>
  <c r="M21" i="72" s="1"/>
  <c r="N20" i="72"/>
  <c r="I23" i="72"/>
  <c r="V21" i="72"/>
  <c r="W21" i="72" s="1"/>
  <c r="O21" i="69"/>
  <c r="V21" i="69"/>
  <c r="X22" i="69"/>
  <c r="Q22" i="69"/>
  <c r="P23" i="69"/>
  <c r="P24" i="69" s="1"/>
  <c r="Z21" i="69"/>
  <c r="Y21" i="69"/>
  <c r="AA21" i="69" s="1"/>
  <c r="S21" i="69"/>
  <c r="R21" i="69"/>
  <c r="T21" i="69" s="1"/>
  <c r="Q23" i="69" a="1"/>
  <c r="Y20" i="72" a="1"/>
  <c r="K23" i="72" a="1"/>
  <c r="U23" i="72" a="1"/>
  <c r="O22" i="69" a="1"/>
  <c r="X23" i="69" a="1"/>
  <c r="V22" i="69" a="1"/>
  <c r="T22" i="72" a="1"/>
  <c r="AA19" i="72" a="1"/>
  <c r="J22" i="72" a="1"/>
  <c r="AF33" i="82" l="1"/>
  <c r="AC33" i="82"/>
  <c r="R32" i="82"/>
  <c r="S32" i="82"/>
  <c r="AD32" i="82"/>
  <c r="AE32" i="82"/>
  <c r="AH32" i="82"/>
  <c r="AG32" i="82"/>
  <c r="U33" i="82"/>
  <c r="V33" i="82"/>
  <c r="Q33" i="82"/>
  <c r="AA34" i="82"/>
  <c r="AB34" i="82" s="1"/>
  <c r="X35" i="82"/>
  <c r="O35" i="82"/>
  <c r="L36" i="82"/>
  <c r="P34" i="82"/>
  <c r="T34" i="82" s="1"/>
  <c r="Y20" i="72"/>
  <c r="AA19" i="72"/>
  <c r="X21" i="72"/>
  <c r="O20" i="72"/>
  <c r="Q20" i="72"/>
  <c r="N21" i="72"/>
  <c r="Z21" i="72"/>
  <c r="P21" i="72"/>
  <c r="K23" i="72"/>
  <c r="J22" i="72"/>
  <c r="T22" i="72"/>
  <c r="U23" i="72"/>
  <c r="I24" i="72"/>
  <c r="L22" i="72"/>
  <c r="M22" i="72" s="1"/>
  <c r="S24" i="72"/>
  <c r="V22" i="72"/>
  <c r="W22" i="72" s="1"/>
  <c r="V22" i="69"/>
  <c r="O22" i="69"/>
  <c r="Q23" i="69"/>
  <c r="X23" i="69"/>
  <c r="R22" i="69"/>
  <c r="T22" i="69" s="1"/>
  <c r="S22" i="69"/>
  <c r="Z22" i="69"/>
  <c r="Y22" i="69"/>
  <c r="AA22" i="69" s="1"/>
  <c r="X24" i="69" a="1"/>
  <c r="U24" i="72" a="1"/>
  <c r="Y21" i="72" a="1"/>
  <c r="AA20" i="72" a="1"/>
  <c r="J23" i="72" a="1"/>
  <c r="K24" i="72" a="1"/>
  <c r="V23" i="69" a="1"/>
  <c r="O23" i="69" a="1"/>
  <c r="Q24" i="69" a="1"/>
  <c r="T23" i="72" a="1"/>
  <c r="AF34" i="82" l="1"/>
  <c r="AC34" i="82"/>
  <c r="V34" i="82"/>
  <c r="U34" i="82"/>
  <c r="R33" i="82"/>
  <c r="S33" i="82"/>
  <c r="AD33" i="82"/>
  <c r="AE33" i="82"/>
  <c r="AH33" i="82"/>
  <c r="AG33" i="82"/>
  <c r="Q34" i="82"/>
  <c r="AA35" i="82"/>
  <c r="AB35" i="82" s="1"/>
  <c r="X36" i="82"/>
  <c r="O36" i="82"/>
  <c r="L37" i="82"/>
  <c r="P35" i="82"/>
  <c r="T35" i="82" s="1"/>
  <c r="Y21" i="72"/>
  <c r="AA20" i="72"/>
  <c r="N22" i="72"/>
  <c r="O21" i="72"/>
  <c r="Q21" i="72"/>
  <c r="O22" i="72"/>
  <c r="Q22" i="72"/>
  <c r="Z22" i="72"/>
  <c r="P22" i="72"/>
  <c r="U24" i="72"/>
  <c r="J23" i="72"/>
  <c r="K24" i="72"/>
  <c r="T23" i="72"/>
  <c r="S25" i="72"/>
  <c r="I25" i="72"/>
  <c r="X22" i="72"/>
  <c r="V23" i="72"/>
  <c r="W23" i="72" s="1"/>
  <c r="L23" i="72"/>
  <c r="M23" i="72" s="1"/>
  <c r="V23" i="69"/>
  <c r="X24" i="69"/>
  <c r="O23" i="69"/>
  <c r="Q24" i="69"/>
  <c r="Z23" i="69"/>
  <c r="Y23" i="69"/>
  <c r="AA23" i="69" s="1"/>
  <c r="R23" i="69"/>
  <c r="T23" i="69" s="1"/>
  <c r="S23" i="69"/>
  <c r="X25" i="69" a="1"/>
  <c r="T24" i="72" a="1"/>
  <c r="U25" i="72" a="1"/>
  <c r="AA21" i="72" a="1"/>
  <c r="K25" i="72" a="1"/>
  <c r="O24" i="69" a="1"/>
  <c r="Y22" i="72" a="1"/>
  <c r="V24" i="69" a="1"/>
  <c r="J24" i="72" a="1"/>
  <c r="V35" i="82" l="1"/>
  <c r="U35" i="82"/>
  <c r="R34" i="82"/>
  <c r="S34" i="82"/>
  <c r="AF35" i="82"/>
  <c r="AC35" i="82"/>
  <c r="AE34" i="82"/>
  <c r="AD34" i="82"/>
  <c r="AH34" i="82"/>
  <c r="AG34" i="82"/>
  <c r="Q35" i="82"/>
  <c r="AA36" i="82"/>
  <c r="AB36" i="82" s="1"/>
  <c r="X37" i="82"/>
  <c r="O37" i="82"/>
  <c r="L38" i="82"/>
  <c r="P36" i="82"/>
  <c r="T36" i="82" s="1"/>
  <c r="AA21" i="72"/>
  <c r="Y22" i="72"/>
  <c r="N23" i="72"/>
  <c r="P23" i="72"/>
  <c r="Z23" i="72"/>
  <c r="J24" i="72"/>
  <c r="K25" i="72"/>
  <c r="T24" i="72"/>
  <c r="U25" i="72"/>
  <c r="X23" i="72"/>
  <c r="I26" i="72"/>
  <c r="S26" i="72"/>
  <c r="L24" i="72"/>
  <c r="M24" i="72" s="1"/>
  <c r="V24" i="72"/>
  <c r="W24" i="72" s="1"/>
  <c r="O24" i="69"/>
  <c r="V24" i="69"/>
  <c r="X25" i="69"/>
  <c r="S24" i="69"/>
  <c r="R24" i="69"/>
  <c r="T24" i="69" s="1"/>
  <c r="Y24" i="69"/>
  <c r="AA24" i="69" s="1"/>
  <c r="Z24" i="69"/>
  <c r="U26" i="72" a="1"/>
  <c r="T25" i="72" a="1"/>
  <c r="AA22" i="72" a="1"/>
  <c r="Y23" i="72" a="1"/>
  <c r="J25" i="72" a="1"/>
  <c r="K26" i="72" a="1"/>
  <c r="V25" i="69" a="1"/>
  <c r="X26" i="69" a="1"/>
  <c r="AF36" i="82" l="1"/>
  <c r="AC36" i="82"/>
  <c r="U36" i="82"/>
  <c r="V36" i="82"/>
  <c r="R35" i="82"/>
  <c r="S35" i="82"/>
  <c r="AD35" i="82"/>
  <c r="AE35" i="82"/>
  <c r="AG35" i="82"/>
  <c r="AH35" i="82"/>
  <c r="Q36" i="82"/>
  <c r="AA37" i="82"/>
  <c r="AB37" i="82" s="1"/>
  <c r="X38" i="82"/>
  <c r="O38" i="82"/>
  <c r="L39" i="82"/>
  <c r="P37" i="82"/>
  <c r="T37" i="82" s="1"/>
  <c r="Y23" i="72"/>
  <c r="AA22" i="72"/>
  <c r="O23" i="72"/>
  <c r="Q23" i="72"/>
  <c r="X24" i="72"/>
  <c r="Z24" i="72"/>
  <c r="P24" i="72"/>
  <c r="J25" i="72"/>
  <c r="T25" i="72"/>
  <c r="U26" i="72"/>
  <c r="K26" i="72"/>
  <c r="N24" i="72"/>
  <c r="S27" i="72"/>
  <c r="I27" i="72"/>
  <c r="V25" i="72"/>
  <c r="W25" i="72" s="1"/>
  <c r="L25" i="72"/>
  <c r="M25" i="72" s="1"/>
  <c r="V25" i="69"/>
  <c r="X26" i="69"/>
  <c r="Y25" i="69"/>
  <c r="AA25" i="69" s="1"/>
  <c r="Z25" i="69"/>
  <c r="K27" i="72" a="1"/>
  <c r="U27" i="72" a="1"/>
  <c r="AA23" i="72" a="1"/>
  <c r="J26" i="72" a="1"/>
  <c r="T26" i="72" a="1"/>
  <c r="V26" i="69" a="1"/>
  <c r="X27" i="69" a="1"/>
  <c r="Y24" i="72" a="1"/>
  <c r="S36" i="82" l="1"/>
  <c r="R36" i="82"/>
  <c r="U37" i="82"/>
  <c r="V37" i="82"/>
  <c r="AF37" i="82"/>
  <c r="AC37" i="82"/>
  <c r="AD36" i="82"/>
  <c r="AE36" i="82"/>
  <c r="AG36" i="82"/>
  <c r="AH36" i="82"/>
  <c r="Q37" i="82"/>
  <c r="AA38" i="82"/>
  <c r="AB38" i="82" s="1"/>
  <c r="X39" i="82"/>
  <c r="O39" i="82"/>
  <c r="L40" i="82"/>
  <c r="P38" i="82"/>
  <c r="T38" i="82" s="1"/>
  <c r="AA23" i="72"/>
  <c r="Y24" i="72"/>
  <c r="X25" i="72"/>
  <c r="O24" i="72"/>
  <c r="Q24" i="72"/>
  <c r="P25" i="72"/>
  <c r="Z25" i="72"/>
  <c r="J26" i="72"/>
  <c r="U27" i="72"/>
  <c r="K27" i="72"/>
  <c r="T26" i="72"/>
  <c r="S28" i="72"/>
  <c r="L26" i="72"/>
  <c r="M26" i="72" s="1"/>
  <c r="I28" i="72"/>
  <c r="N25" i="72"/>
  <c r="V26" i="72"/>
  <c r="W26" i="72" s="1"/>
  <c r="V26" i="69"/>
  <c r="X27" i="69"/>
  <c r="Z26" i="69"/>
  <c r="Y26" i="69"/>
  <c r="AA26" i="69" s="1"/>
  <c r="K28" i="72" a="1"/>
  <c r="AA24" i="72" a="1"/>
  <c r="V27" i="69" a="1"/>
  <c r="U28" i="72" a="1"/>
  <c r="X28" i="69" a="1"/>
  <c r="Y25" i="72" a="1"/>
  <c r="T27" i="72" a="1"/>
  <c r="J27" i="72" a="1"/>
  <c r="AH37" i="82" l="1"/>
  <c r="AG37" i="82"/>
  <c r="V38" i="82"/>
  <c r="U38" i="82"/>
  <c r="AF38" i="82"/>
  <c r="AC38" i="82"/>
  <c r="R37" i="82"/>
  <c r="S37" i="82"/>
  <c r="AD37" i="82"/>
  <c r="AE37" i="82"/>
  <c r="Q38" i="82"/>
  <c r="AA39" i="82"/>
  <c r="AB39" i="82" s="1"/>
  <c r="X40" i="82"/>
  <c r="O40" i="82"/>
  <c r="L41" i="82"/>
  <c r="P39" i="82"/>
  <c r="T39" i="82" s="1"/>
  <c r="AA24" i="72"/>
  <c r="Y25" i="72"/>
  <c r="O25" i="72"/>
  <c r="Q25" i="72"/>
  <c r="Z26" i="72"/>
  <c r="P26" i="72"/>
  <c r="J27" i="72"/>
  <c r="K28" i="72"/>
  <c r="T27" i="72"/>
  <c r="U28" i="72"/>
  <c r="X26" i="72"/>
  <c r="N26" i="72"/>
  <c r="V27" i="72"/>
  <c r="W27" i="72" s="1"/>
  <c r="I29" i="72"/>
  <c r="S29" i="72"/>
  <c r="L27" i="72"/>
  <c r="M27" i="72" s="1"/>
  <c r="V27" i="69"/>
  <c r="X28" i="69"/>
  <c r="Z27" i="69"/>
  <c r="Y27" i="69"/>
  <c r="AA27" i="69" s="1"/>
  <c r="V28" i="69" a="1"/>
  <c r="F7" i="78" a="1"/>
  <c r="J28" i="72" a="1"/>
  <c r="U29" i="72" a="1"/>
  <c r="AA25" i="72" a="1"/>
  <c r="X29" i="69" a="1"/>
  <c r="Y26" i="72" a="1"/>
  <c r="T28" i="72" a="1"/>
  <c r="K29" i="72" a="1"/>
  <c r="R38" i="82" l="1"/>
  <c r="S38" i="82"/>
  <c r="AD38" i="82"/>
  <c r="AE38" i="82"/>
  <c r="U39" i="82"/>
  <c r="V39" i="82"/>
  <c r="AF39" i="82"/>
  <c r="AC39" i="82"/>
  <c r="AH38" i="82"/>
  <c r="AG38" i="82"/>
  <c r="Q39" i="82"/>
  <c r="AA40" i="82"/>
  <c r="AB40" i="82" s="1"/>
  <c r="X41" i="82"/>
  <c r="O41" i="82"/>
  <c r="L42" i="82"/>
  <c r="P40" i="82"/>
  <c r="T40" i="82" s="1"/>
  <c r="F7" i="78"/>
  <c r="D7" i="78" s="1"/>
  <c r="Y26" i="72"/>
  <c r="AA25" i="72"/>
  <c r="O26" i="72"/>
  <c r="Q26" i="72"/>
  <c r="N27" i="72"/>
  <c r="P27" i="72"/>
  <c r="Z27" i="72"/>
  <c r="J28" i="72"/>
  <c r="K29" i="72"/>
  <c r="U29" i="72"/>
  <c r="T28" i="72"/>
  <c r="I30" i="72"/>
  <c r="X27" i="72"/>
  <c r="S30" i="72"/>
  <c r="L28" i="72"/>
  <c r="M28" i="72" s="1"/>
  <c r="V28" i="72"/>
  <c r="W28" i="72" s="1"/>
  <c r="V28" i="69"/>
  <c r="X29" i="69"/>
  <c r="Z28" i="69"/>
  <c r="Y28" i="69"/>
  <c r="AA28" i="69" s="1"/>
  <c r="T29" i="72" a="1"/>
  <c r="K30" i="72" a="1"/>
  <c r="J29" i="72" a="1"/>
  <c r="V29" i="69" a="1"/>
  <c r="U30" i="72" a="1"/>
  <c r="AA26" i="72" a="1"/>
  <c r="Y27" i="72" a="1"/>
  <c r="X30" i="69" a="1"/>
  <c r="AE39" i="82" l="1"/>
  <c r="AD39" i="82"/>
  <c r="R39" i="82"/>
  <c r="S39" i="82"/>
  <c r="AH39" i="82"/>
  <c r="AG39" i="82"/>
  <c r="AF40" i="82"/>
  <c r="AC40" i="82"/>
  <c r="U40" i="82"/>
  <c r="V40" i="82"/>
  <c r="Q40" i="82"/>
  <c r="AA41" i="82"/>
  <c r="AB41" i="82" s="1"/>
  <c r="X42" i="82"/>
  <c r="O42" i="82"/>
  <c r="L43" i="82"/>
  <c r="P41" i="82"/>
  <c r="T41" i="82" s="1"/>
  <c r="X28" i="72"/>
  <c r="Y27" i="72"/>
  <c r="AA26" i="72"/>
  <c r="O27" i="72"/>
  <c r="Q27" i="72"/>
  <c r="P28" i="72"/>
  <c r="Z28" i="72"/>
  <c r="N28" i="72"/>
  <c r="K30" i="72"/>
  <c r="J29" i="72"/>
  <c r="T29" i="72"/>
  <c r="U30" i="72"/>
  <c r="I31" i="72"/>
  <c r="L29" i="72"/>
  <c r="M29" i="72" s="1"/>
  <c r="S31" i="72"/>
  <c r="V29" i="72"/>
  <c r="W29" i="72" s="1"/>
  <c r="X30" i="69"/>
  <c r="V29" i="69"/>
  <c r="Y29" i="69"/>
  <c r="AA29" i="69" s="1"/>
  <c r="Z29" i="69"/>
  <c r="AA27" i="72" a="1"/>
  <c r="AA28" i="72" a="1"/>
  <c r="T30" i="72" a="1"/>
  <c r="U31" i="72" a="1"/>
  <c r="Y28" i="72" a="1"/>
  <c r="X31" i="69" a="1"/>
  <c r="K31" i="72" a="1"/>
  <c r="V30" i="69" a="1"/>
  <c r="J30" i="72" a="1"/>
  <c r="AF41" i="82" l="1"/>
  <c r="AC41" i="82"/>
  <c r="AD40" i="82"/>
  <c r="AE40" i="82"/>
  <c r="R40" i="82"/>
  <c r="S40" i="82"/>
  <c r="V41" i="82"/>
  <c r="U41" i="82"/>
  <c r="AH40" i="82"/>
  <c r="AG40" i="82"/>
  <c r="Q41" i="82"/>
  <c r="AA42" i="82"/>
  <c r="AB42" i="82" s="1"/>
  <c r="X43" i="82"/>
  <c r="O43" i="82"/>
  <c r="L44" i="82"/>
  <c r="P42" i="82"/>
  <c r="T42" i="82" s="1"/>
  <c r="Y28" i="72"/>
  <c r="X29" i="72"/>
  <c r="AA27" i="72"/>
  <c r="AA28" i="72"/>
  <c r="O28" i="72"/>
  <c r="Q28" i="72"/>
  <c r="N29" i="72"/>
  <c r="P29" i="72"/>
  <c r="Z29" i="72"/>
  <c r="T30" i="72"/>
  <c r="U31" i="72"/>
  <c r="K31" i="72"/>
  <c r="J30" i="72"/>
  <c r="S32" i="72"/>
  <c r="I32" i="72"/>
  <c r="V30" i="72"/>
  <c r="W30" i="72" s="1"/>
  <c r="L30" i="72"/>
  <c r="M30" i="72" s="1"/>
  <c r="V30" i="69"/>
  <c r="X31" i="69"/>
  <c r="Y30" i="69"/>
  <c r="AA30" i="69" s="1"/>
  <c r="Z30" i="69"/>
  <c r="J31" i="72" a="1"/>
  <c r="AA29" i="72" a="1"/>
  <c r="V31" i="69" a="1"/>
  <c r="T31" i="72" a="1"/>
  <c r="U32" i="72" a="1"/>
  <c r="Y29" i="72" a="1"/>
  <c r="K32" i="72" a="1"/>
  <c r="X32" i="69" a="1"/>
  <c r="V42" i="82" l="1"/>
  <c r="U42" i="82"/>
  <c r="AF42" i="82"/>
  <c r="AC42" i="82"/>
  <c r="AD41" i="82"/>
  <c r="AE41" i="82"/>
  <c r="R41" i="82"/>
  <c r="S41" i="82"/>
  <c r="AG41" i="82"/>
  <c r="AH41" i="82"/>
  <c r="Q42" i="82"/>
  <c r="AA43" i="82"/>
  <c r="AB43" i="82" s="1"/>
  <c r="X44" i="82"/>
  <c r="O44" i="82"/>
  <c r="L45" i="82"/>
  <c r="P43" i="82"/>
  <c r="T43" i="82" s="1"/>
  <c r="Y29" i="72"/>
  <c r="AA29" i="72"/>
  <c r="N30" i="72"/>
  <c r="O29" i="72"/>
  <c r="Q29" i="72"/>
  <c r="O30" i="72"/>
  <c r="Q30" i="72"/>
  <c r="X30" i="72"/>
  <c r="P30" i="72"/>
  <c r="Z30" i="72"/>
  <c r="J31" i="72"/>
  <c r="K32" i="72"/>
  <c r="T31" i="72"/>
  <c r="U32" i="72"/>
  <c r="I33" i="72"/>
  <c r="S33" i="72"/>
  <c r="L31" i="72"/>
  <c r="M31" i="72" s="1"/>
  <c r="V31" i="72"/>
  <c r="W31" i="72" s="1"/>
  <c r="V31" i="69"/>
  <c r="X32" i="69"/>
  <c r="Z31" i="69"/>
  <c r="Y31" i="69"/>
  <c r="AA31" i="69" s="1"/>
  <c r="J32" i="72" a="1"/>
  <c r="U33" i="72" a="1"/>
  <c r="X33" i="69" a="1"/>
  <c r="Y30" i="72" a="1"/>
  <c r="V32" i="69" a="1"/>
  <c r="K33" i="72" a="1"/>
  <c r="T32" i="72" a="1"/>
  <c r="U43" i="82" l="1"/>
  <c r="V43" i="82"/>
  <c r="AF43" i="82"/>
  <c r="AC43" i="82"/>
  <c r="AD42" i="82"/>
  <c r="AE42" i="82"/>
  <c r="AG42" i="82"/>
  <c r="AH42" i="82"/>
  <c r="R42" i="82"/>
  <c r="S42" i="82"/>
  <c r="X31" i="72"/>
  <c r="Q43" i="82"/>
  <c r="AA44" i="82"/>
  <c r="AB44" i="82" s="1"/>
  <c r="X45" i="82"/>
  <c r="O45" i="82"/>
  <c r="L46" i="82"/>
  <c r="P44" i="82"/>
  <c r="T44" i="82" s="1"/>
  <c r="Y30" i="72"/>
  <c r="Z31" i="72"/>
  <c r="P31" i="72"/>
  <c r="U33" i="72"/>
  <c r="J32" i="72"/>
  <c r="T32" i="72"/>
  <c r="K33" i="72"/>
  <c r="S34" i="72"/>
  <c r="V32" i="72"/>
  <c r="W32" i="72" s="1"/>
  <c r="L32" i="72"/>
  <c r="M32" i="72" s="1"/>
  <c r="N31" i="72"/>
  <c r="I34" i="72"/>
  <c r="V32" i="69"/>
  <c r="X33" i="69"/>
  <c r="Y32" i="69"/>
  <c r="AA32" i="69" s="1"/>
  <c r="Z32" i="69"/>
  <c r="U34" i="72" a="1"/>
  <c r="Y31" i="72" a="1"/>
  <c r="T33" i="72" a="1"/>
  <c r="K34" i="72" a="1"/>
  <c r="J33" i="72" a="1"/>
  <c r="X34" i="69" a="1"/>
  <c r="V33" i="69" a="1"/>
  <c r="AA30" i="72" a="1"/>
  <c r="Y31" i="72" l="1"/>
  <c r="AF44" i="82"/>
  <c r="AC44" i="82"/>
  <c r="AD43" i="82"/>
  <c r="AE43" i="82"/>
  <c r="AH43" i="82"/>
  <c r="AG43" i="82"/>
  <c r="R43" i="82"/>
  <c r="S43" i="82"/>
  <c r="V44" i="82"/>
  <c r="U44" i="82"/>
  <c r="Q44" i="82"/>
  <c r="AA45" i="82"/>
  <c r="AB45" i="82" s="1"/>
  <c r="X46" i="82"/>
  <c r="O46" i="82"/>
  <c r="L47" i="82"/>
  <c r="P45" i="82"/>
  <c r="T45" i="82" s="1"/>
  <c r="AA30" i="72"/>
  <c r="O31" i="72"/>
  <c r="Q31" i="72"/>
  <c r="X32" i="72"/>
  <c r="P32" i="72"/>
  <c r="Z32" i="72"/>
  <c r="J33" i="72"/>
  <c r="K34" i="72"/>
  <c r="T33" i="72"/>
  <c r="U34" i="72"/>
  <c r="I35" i="72"/>
  <c r="N32" i="72"/>
  <c r="S35" i="72"/>
  <c r="L33" i="72"/>
  <c r="M33" i="72" s="1"/>
  <c r="V33" i="72"/>
  <c r="W33" i="72" s="1"/>
  <c r="V33" i="69"/>
  <c r="X34" i="69"/>
  <c r="Z33" i="69"/>
  <c r="Y33" i="69"/>
  <c r="AA33" i="69" s="1"/>
  <c r="Y32" i="72" a="1"/>
  <c r="U35" i="72" a="1"/>
  <c r="K35" i="72" a="1"/>
  <c r="J34" i="72" a="1"/>
  <c r="AA31" i="72" a="1"/>
  <c r="V34" i="69" a="1"/>
  <c r="T34" i="72" a="1"/>
  <c r="AA31" i="72" l="1"/>
  <c r="AF45" i="82"/>
  <c r="AC45" i="82"/>
  <c r="S44" i="82"/>
  <c r="R44" i="82"/>
  <c r="AD44" i="82"/>
  <c r="AE44" i="82"/>
  <c r="AG44" i="82"/>
  <c r="AH44" i="82"/>
  <c r="V45" i="82"/>
  <c r="U45" i="82"/>
  <c r="Q45" i="82"/>
  <c r="AA46" i="82"/>
  <c r="AB46" i="82" s="1"/>
  <c r="X47" i="82"/>
  <c r="O47" i="82"/>
  <c r="L48" i="82"/>
  <c r="P46" i="82"/>
  <c r="T46" i="82" s="1"/>
  <c r="Y32" i="72"/>
  <c r="O32" i="72"/>
  <c r="Q32" i="72"/>
  <c r="X33" i="72"/>
  <c r="Z33" i="72"/>
  <c r="P33" i="72"/>
  <c r="T34" i="72"/>
  <c r="U35" i="72"/>
  <c r="J34" i="72"/>
  <c r="K35" i="72"/>
  <c r="N33" i="72"/>
  <c r="S36" i="72"/>
  <c r="I36" i="72"/>
  <c r="V34" i="72"/>
  <c r="W34" i="72" s="1"/>
  <c r="L34" i="72"/>
  <c r="M34" i="72" s="1"/>
  <c r="V34" i="69"/>
  <c r="Y34" i="69"/>
  <c r="AA34" i="69" s="1"/>
  <c r="Z34" i="69"/>
  <c r="K36" i="72" a="1"/>
  <c r="U36" i="72" a="1"/>
  <c r="Y33" i="72" a="1"/>
  <c r="J35" i="72" a="1"/>
  <c r="AA32" i="72" a="1"/>
  <c r="T35" i="72" a="1"/>
  <c r="R45" i="82" l="1"/>
  <c r="S45" i="82"/>
  <c r="AD45" i="82"/>
  <c r="AE45" i="82"/>
  <c r="AG45" i="82"/>
  <c r="AH45" i="82"/>
  <c r="AF46" i="82"/>
  <c r="AC46" i="82"/>
  <c r="U46" i="82"/>
  <c r="V46" i="82"/>
  <c r="Q46" i="82"/>
  <c r="AA47" i="82"/>
  <c r="AB47" i="82" s="1"/>
  <c r="X48" i="82"/>
  <c r="O48" i="82"/>
  <c r="L49" i="82"/>
  <c r="P47" i="82"/>
  <c r="T47" i="82" s="1"/>
  <c r="Y33" i="72"/>
  <c r="AA32" i="72"/>
  <c r="O33" i="72"/>
  <c r="Q33" i="72"/>
  <c r="N34" i="72"/>
  <c r="Z34" i="72"/>
  <c r="P34" i="72"/>
  <c r="J35" i="72"/>
  <c r="K36" i="72"/>
  <c r="T35" i="72"/>
  <c r="U36" i="72"/>
  <c r="X34" i="72"/>
  <c r="I37" i="72"/>
  <c r="S37" i="72"/>
  <c r="L35" i="72"/>
  <c r="M35" i="72" s="1"/>
  <c r="V35" i="72"/>
  <c r="W35" i="72" s="1"/>
  <c r="Y34" i="72" a="1"/>
  <c r="U37" i="72" a="1"/>
  <c r="K37" i="72" a="1"/>
  <c r="T36" i="72" a="1"/>
  <c r="J36" i="72" a="1"/>
  <c r="AA33" i="72" a="1"/>
  <c r="U47" i="82" l="1"/>
  <c r="V47" i="82"/>
  <c r="R46" i="82"/>
  <c r="S46" i="82"/>
  <c r="AF47" i="82"/>
  <c r="AC47" i="82"/>
  <c r="AD46" i="82"/>
  <c r="AE46" i="82"/>
  <c r="AG46" i="82"/>
  <c r="AH46" i="82"/>
  <c r="Q47" i="82"/>
  <c r="AA48" i="82"/>
  <c r="AB48" i="82" s="1"/>
  <c r="X49" i="82"/>
  <c r="O49" i="82"/>
  <c r="L50" i="82"/>
  <c r="P48" i="82"/>
  <c r="T48" i="82" s="1"/>
  <c r="AA33" i="72"/>
  <c r="Y34" i="72"/>
  <c r="N35" i="72"/>
  <c r="Q35" i="72" s="1"/>
  <c r="O34" i="72"/>
  <c r="Q34" i="72"/>
  <c r="O35" i="72"/>
  <c r="Z35" i="72"/>
  <c r="P35" i="72"/>
  <c r="K37" i="72"/>
  <c r="J36" i="72"/>
  <c r="T36" i="72"/>
  <c r="U37" i="72"/>
  <c r="I38" i="72"/>
  <c r="X35" i="72"/>
  <c r="V36" i="72"/>
  <c r="W36" i="72" s="1"/>
  <c r="S38" i="72"/>
  <c r="L36" i="72"/>
  <c r="M36" i="72" s="1"/>
  <c r="U38" i="72" a="1"/>
  <c r="J37" i="72" a="1"/>
  <c r="T37" i="72" a="1"/>
  <c r="AA34" i="72" a="1"/>
  <c r="K38" i="72" a="1"/>
  <c r="Y35" i="72" a="1"/>
  <c r="U48" i="82" l="1"/>
  <c r="V48" i="82"/>
  <c r="R47" i="82"/>
  <c r="S47" i="82"/>
  <c r="AE47" i="82"/>
  <c r="AD47" i="82"/>
  <c r="AG47" i="82"/>
  <c r="AH47" i="82"/>
  <c r="AF48" i="82"/>
  <c r="AC48" i="82"/>
  <c r="Q48" i="82"/>
  <c r="AA49" i="82"/>
  <c r="AB49" i="82" s="1"/>
  <c r="X50" i="82"/>
  <c r="O50" i="82"/>
  <c r="L51" i="82"/>
  <c r="P49" i="82"/>
  <c r="T49" i="82" s="1"/>
  <c r="AA34" i="72"/>
  <c r="Y35" i="72"/>
  <c r="Z36" i="72"/>
  <c r="P36" i="72"/>
  <c r="U38" i="72"/>
  <c r="J37" i="72"/>
  <c r="T37" i="72"/>
  <c r="K38" i="72"/>
  <c r="N36" i="72"/>
  <c r="S39" i="72"/>
  <c r="X36" i="72"/>
  <c r="I39" i="72"/>
  <c r="V37" i="72"/>
  <c r="W37" i="72" s="1"/>
  <c r="L37" i="72"/>
  <c r="M37" i="72" s="1"/>
  <c r="U39" i="72" a="1"/>
  <c r="K39" i="72" a="1"/>
  <c r="J38" i="72" a="1"/>
  <c r="T38" i="72" a="1"/>
  <c r="AA35" i="72" a="1"/>
  <c r="Y36" i="72" a="1"/>
  <c r="AG48" i="82" l="1"/>
  <c r="AH48" i="82"/>
  <c r="U49" i="82"/>
  <c r="V49" i="82"/>
  <c r="R48" i="82"/>
  <c r="S48" i="82"/>
  <c r="AF49" i="82"/>
  <c r="AC49" i="82"/>
  <c r="AD48" i="82"/>
  <c r="AE48" i="82"/>
  <c r="Q49" i="82"/>
  <c r="AA50" i="82"/>
  <c r="AB50" i="82" s="1"/>
  <c r="X51" i="82"/>
  <c r="O51" i="82"/>
  <c r="L52" i="82"/>
  <c r="P50" i="82"/>
  <c r="T50" i="82" s="1"/>
  <c r="Y36" i="72"/>
  <c r="AA35" i="72"/>
  <c r="O36" i="72"/>
  <c r="Q36" i="72"/>
  <c r="N37" i="72"/>
  <c r="X37" i="72"/>
  <c r="P37" i="72"/>
  <c r="Z37" i="72"/>
  <c r="J38" i="72"/>
  <c r="K39" i="72"/>
  <c r="T38" i="72"/>
  <c r="U39" i="72"/>
  <c r="I40" i="72"/>
  <c r="S40" i="72"/>
  <c r="L38" i="72"/>
  <c r="M38" i="72" s="1"/>
  <c r="V38" i="72"/>
  <c r="W38" i="72" s="1"/>
  <c r="U40" i="72" a="1"/>
  <c r="AA36" i="72" a="1"/>
  <c r="Y37" i="72" a="1"/>
  <c r="J39" i="72" a="1"/>
  <c r="T39" i="72" a="1"/>
  <c r="K40" i="72" a="1"/>
  <c r="R49" i="82" l="1"/>
  <c r="S49" i="82"/>
  <c r="AH49" i="82"/>
  <c r="AG49" i="82"/>
  <c r="V50" i="82"/>
  <c r="U50" i="82"/>
  <c r="AF50" i="82"/>
  <c r="AC50" i="82"/>
  <c r="AD49" i="82"/>
  <c r="AE49" i="82"/>
  <c r="Q50" i="82"/>
  <c r="AA51" i="82"/>
  <c r="AB51" i="82" s="1"/>
  <c r="X52" i="82"/>
  <c r="O52" i="82"/>
  <c r="L53" i="82"/>
  <c r="P51" i="82"/>
  <c r="T51" i="82" s="1"/>
  <c r="AA36" i="72"/>
  <c r="Y37" i="72"/>
  <c r="O37" i="72"/>
  <c r="Q37" i="72"/>
  <c r="Z38" i="72"/>
  <c r="P38" i="72"/>
  <c r="J39" i="72"/>
  <c r="T39" i="72"/>
  <c r="U40" i="72"/>
  <c r="K40" i="72"/>
  <c r="X38" i="72"/>
  <c r="N38" i="72"/>
  <c r="S41" i="72"/>
  <c r="I41" i="72"/>
  <c r="V39" i="72"/>
  <c r="W39" i="72" s="1"/>
  <c r="L39" i="72"/>
  <c r="M39" i="72" s="1"/>
  <c r="J40" i="72" a="1"/>
  <c r="T40" i="72" a="1"/>
  <c r="U41" i="72" a="1"/>
  <c r="Y38" i="72" a="1"/>
  <c r="K41" i="72" a="1"/>
  <c r="F14" i="78" a="1"/>
  <c r="AA37" i="72" a="1"/>
  <c r="V51" i="82" l="1"/>
  <c r="U51" i="82"/>
  <c r="R50" i="82"/>
  <c r="S50" i="82"/>
  <c r="AF51" i="82"/>
  <c r="AC51" i="82"/>
  <c r="AD50" i="82"/>
  <c r="AE50" i="82"/>
  <c r="AH50" i="82"/>
  <c r="AG50" i="82"/>
  <c r="Q51" i="82"/>
  <c r="AA52" i="82"/>
  <c r="AB52" i="82" s="1"/>
  <c r="X53" i="82"/>
  <c r="O53" i="82"/>
  <c r="L54" i="82"/>
  <c r="P52" i="82"/>
  <c r="T52" i="82" s="1"/>
  <c r="F14" i="78"/>
  <c r="AA37" i="72"/>
  <c r="Y38" i="72"/>
  <c r="O38" i="72"/>
  <c r="Q38" i="72"/>
  <c r="X39" i="72"/>
  <c r="P39" i="72"/>
  <c r="Z39" i="72"/>
  <c r="T40" i="72"/>
  <c r="U41" i="72"/>
  <c r="J40" i="72"/>
  <c r="K41" i="72"/>
  <c r="S42" i="72"/>
  <c r="N39" i="72"/>
  <c r="I42" i="72"/>
  <c r="L40" i="72"/>
  <c r="M40" i="72" s="1"/>
  <c r="V40" i="72"/>
  <c r="W40" i="72" s="1"/>
  <c r="U42" i="72" a="1"/>
  <c r="AA38" i="72" a="1"/>
  <c r="D14" i="78" a="1"/>
  <c r="Y39" i="72" a="1"/>
  <c r="T41" i="72" a="1"/>
  <c r="J41" i="72" a="1"/>
  <c r="K42" i="72" a="1"/>
  <c r="R51" i="82" l="1"/>
  <c r="S51" i="82"/>
  <c r="V52" i="82"/>
  <c r="U52" i="82"/>
  <c r="AH51" i="82"/>
  <c r="AG51" i="82"/>
  <c r="AD51" i="82"/>
  <c r="AE51" i="82"/>
  <c r="AF52" i="82"/>
  <c r="AC52" i="82"/>
  <c r="Q52" i="82"/>
  <c r="AA53" i="82"/>
  <c r="AB53" i="82" s="1"/>
  <c r="X54" i="82"/>
  <c r="O54" i="82"/>
  <c r="L55" i="82"/>
  <c r="P53" i="82"/>
  <c r="T53" i="82" s="1"/>
  <c r="D14" i="78"/>
  <c r="N40" i="72"/>
  <c r="Y39" i="72"/>
  <c r="AA38" i="72"/>
  <c r="O40" i="72"/>
  <c r="Q40" i="72"/>
  <c r="O39" i="72"/>
  <c r="Q39" i="72"/>
  <c r="X40" i="72"/>
  <c r="P40" i="72"/>
  <c r="Z40" i="72"/>
  <c r="J41" i="72"/>
  <c r="K42" i="72"/>
  <c r="T41" i="72"/>
  <c r="U42" i="72"/>
  <c r="I43" i="72"/>
  <c r="S43" i="72"/>
  <c r="L41" i="72"/>
  <c r="M41" i="72" s="1"/>
  <c r="V41" i="72"/>
  <c r="W41" i="72" s="1"/>
  <c r="AA39" i="72" a="1"/>
  <c r="K43" i="72" a="1"/>
  <c r="U43" i="72" a="1"/>
  <c r="J42" i="72" a="1"/>
  <c r="T42" i="72" a="1"/>
  <c r="Y40" i="72" a="1"/>
  <c r="S52" i="82" l="1"/>
  <c r="R52" i="82"/>
  <c r="V53" i="82"/>
  <c r="U53" i="82"/>
  <c r="AH52" i="82"/>
  <c r="AG52" i="82"/>
  <c r="AF53" i="82"/>
  <c r="AC53" i="82"/>
  <c r="AD52" i="82"/>
  <c r="AE52" i="82"/>
  <c r="Q53" i="82"/>
  <c r="AA54" i="82"/>
  <c r="AB54" i="82" s="1"/>
  <c r="X55" i="82"/>
  <c r="O55" i="82"/>
  <c r="P54" i="82"/>
  <c r="T54" i="82" s="1"/>
  <c r="L56" i="82"/>
  <c r="L57" i="82" s="1"/>
  <c r="Y40" i="72"/>
  <c r="AA39" i="72"/>
  <c r="N41" i="72"/>
  <c r="Z41" i="72"/>
  <c r="P41" i="72"/>
  <c r="J42" i="72"/>
  <c r="K43" i="72"/>
  <c r="T42" i="72"/>
  <c r="U43" i="72"/>
  <c r="X41" i="72"/>
  <c r="I44" i="72"/>
  <c r="V42" i="72"/>
  <c r="W42" i="72" s="1"/>
  <c r="L42" i="72"/>
  <c r="M42" i="72" s="1"/>
  <c r="S44" i="72"/>
  <c r="U44" i="72" a="1"/>
  <c r="Y41" i="72" a="1"/>
  <c r="J43" i="72" a="1"/>
  <c r="AA40" i="72" a="1"/>
  <c r="T43" i="72" a="1"/>
  <c r="K44" i="72" a="1"/>
  <c r="AF54" i="82" l="1"/>
  <c r="AC54" i="82"/>
  <c r="V54" i="82"/>
  <c r="U54" i="82"/>
  <c r="R53" i="82"/>
  <c r="S53" i="82"/>
  <c r="AD53" i="82"/>
  <c r="AE53" i="82"/>
  <c r="AH53" i="82"/>
  <c r="AG53" i="82"/>
  <c r="Q54" i="82"/>
  <c r="AA55" i="82"/>
  <c r="AB55" i="82" s="1"/>
  <c r="X56" i="82"/>
  <c r="O57" i="82"/>
  <c r="P57" i="82" s="1"/>
  <c r="T57" i="82" s="1"/>
  <c r="L58" i="82"/>
  <c r="O56" i="82"/>
  <c r="P55" i="82"/>
  <c r="T55" i="82" s="1"/>
  <c r="Y41" i="72"/>
  <c r="AA40" i="72"/>
  <c r="O41" i="72"/>
  <c r="Q41" i="72"/>
  <c r="N42" i="72"/>
  <c r="X42" i="72"/>
  <c r="P42" i="72"/>
  <c r="Z42" i="72"/>
  <c r="T43" i="72"/>
  <c r="U44" i="72"/>
  <c r="J43" i="72"/>
  <c r="K44" i="72"/>
  <c r="S45" i="72"/>
  <c r="I45" i="72"/>
  <c r="V43" i="72"/>
  <c r="W43" i="72" s="1"/>
  <c r="L43" i="72"/>
  <c r="M43" i="72" s="1"/>
  <c r="T44" i="72" a="1"/>
  <c r="J44" i="72" a="1"/>
  <c r="K45" i="72" a="1"/>
  <c r="Y42" i="72" a="1"/>
  <c r="AA41" i="72" a="1"/>
  <c r="U45" i="72" a="1"/>
  <c r="R54" i="82" l="1"/>
  <c r="S54" i="82"/>
  <c r="V57" i="82"/>
  <c r="U57" i="82"/>
  <c r="AD54" i="82"/>
  <c r="AE54" i="82"/>
  <c r="AF55" i="82"/>
  <c r="AC55" i="82"/>
  <c r="U55" i="82"/>
  <c r="V55" i="82"/>
  <c r="AH54" i="82"/>
  <c r="AG54" i="82"/>
  <c r="Q55" i="82"/>
  <c r="Q57" i="82"/>
  <c r="AA56" i="82"/>
  <c r="AB56" i="82" s="1"/>
  <c r="X57" i="82"/>
  <c r="O58" i="82"/>
  <c r="P58" i="82" s="1"/>
  <c r="T58" i="82" s="1"/>
  <c r="L59" i="82"/>
  <c r="P56" i="82"/>
  <c r="T56" i="82" s="1"/>
  <c r="X43" i="72"/>
  <c r="AA41" i="72"/>
  <c r="Y42" i="72"/>
  <c r="O42" i="72"/>
  <c r="Q42" i="72"/>
  <c r="P43" i="72"/>
  <c r="Z43" i="72"/>
  <c r="J44" i="72"/>
  <c r="K45" i="72"/>
  <c r="T44" i="72"/>
  <c r="U45" i="72"/>
  <c r="N43" i="72"/>
  <c r="I46" i="72"/>
  <c r="S46" i="72"/>
  <c r="L44" i="72"/>
  <c r="M44" i="72" s="1"/>
  <c r="V44" i="72"/>
  <c r="W44" i="72" s="1"/>
  <c r="Y43" i="72" a="1"/>
  <c r="J45" i="72" a="1"/>
  <c r="AA43" i="72" a="1"/>
  <c r="K46" i="72" a="1"/>
  <c r="AA42" i="72" a="1"/>
  <c r="T45" i="72" a="1"/>
  <c r="U46" i="72" a="1"/>
  <c r="AE55" i="82" l="1"/>
  <c r="AD55" i="82"/>
  <c r="AF56" i="82"/>
  <c r="AC56" i="82"/>
  <c r="R57" i="82"/>
  <c r="S57" i="82"/>
  <c r="R55" i="82"/>
  <c r="S55" i="82"/>
  <c r="AH55" i="82"/>
  <c r="AG55" i="82"/>
  <c r="U56" i="82"/>
  <c r="V56" i="82"/>
  <c r="U58" i="82"/>
  <c r="V58" i="82"/>
  <c r="Q56" i="82"/>
  <c r="Q58" i="82"/>
  <c r="AA57" i="82"/>
  <c r="AB57" i="82" s="1"/>
  <c r="X58" i="82"/>
  <c r="O59" i="82"/>
  <c r="P59" i="82" s="1"/>
  <c r="T59" i="82" s="1"/>
  <c r="L60" i="82"/>
  <c r="Y43" i="72"/>
  <c r="AA42" i="72"/>
  <c r="AA43" i="72"/>
  <c r="O43" i="72"/>
  <c r="Q43" i="72"/>
  <c r="P44" i="72"/>
  <c r="Z44" i="72"/>
  <c r="T45" i="72"/>
  <c r="J45" i="72"/>
  <c r="U46" i="72"/>
  <c r="K46" i="72"/>
  <c r="X44" i="72"/>
  <c r="N44" i="72"/>
  <c r="V45" i="72"/>
  <c r="W45" i="72" s="1"/>
  <c r="L45" i="72"/>
  <c r="M45" i="72" s="1"/>
  <c r="S47" i="72"/>
  <c r="I47" i="72"/>
  <c r="U47" i="72" a="1"/>
  <c r="J46" i="72" a="1"/>
  <c r="T46" i="72" a="1"/>
  <c r="Y44" i="72" a="1"/>
  <c r="K47" i="72" a="1"/>
  <c r="R56" i="82" l="1"/>
  <c r="S56" i="82"/>
  <c r="AD56" i="82"/>
  <c r="AE56" i="82"/>
  <c r="U59" i="82"/>
  <c r="V59" i="82"/>
  <c r="R58" i="82"/>
  <c r="S58" i="82"/>
  <c r="AG56" i="82"/>
  <c r="AH56" i="82"/>
  <c r="AF57" i="82"/>
  <c r="AC57" i="82"/>
  <c r="Q59" i="82"/>
  <c r="AA58" i="82"/>
  <c r="AB58" i="82" s="1"/>
  <c r="X59" i="82"/>
  <c r="O60" i="82"/>
  <c r="P60" i="82" s="1"/>
  <c r="T60" i="82" s="1"/>
  <c r="L61" i="82"/>
  <c r="Y44" i="72"/>
  <c r="O44" i="72"/>
  <c r="Q44" i="72"/>
  <c r="N45" i="72"/>
  <c r="X45" i="72"/>
  <c r="P45" i="72"/>
  <c r="Z45" i="72"/>
  <c r="T46" i="72"/>
  <c r="J46" i="72"/>
  <c r="K47" i="72"/>
  <c r="U47" i="72"/>
  <c r="I48" i="72"/>
  <c r="S48" i="72"/>
  <c r="L46" i="72"/>
  <c r="M46" i="72" s="1"/>
  <c r="V46" i="72"/>
  <c r="W46" i="72" s="1"/>
  <c r="AA44" i="72" a="1"/>
  <c r="U48" i="72" a="1"/>
  <c r="K48" i="72" a="1"/>
  <c r="T47" i="72" a="1"/>
  <c r="Y45" i="72" a="1"/>
  <c r="J47" i="72" a="1"/>
  <c r="V60" i="82" l="1"/>
  <c r="U60" i="82"/>
  <c r="AD57" i="82"/>
  <c r="AE57" i="82"/>
  <c r="AH57" i="82"/>
  <c r="AG57" i="82"/>
  <c r="R59" i="82"/>
  <c r="S59" i="82"/>
  <c r="AF58" i="82"/>
  <c r="AC58" i="82"/>
  <c r="Q60" i="82"/>
  <c r="AA59" i="82"/>
  <c r="AB59" i="82" s="1"/>
  <c r="X60" i="82"/>
  <c r="O61" i="82"/>
  <c r="P61" i="82" s="1"/>
  <c r="T61" i="82" s="1"/>
  <c r="L62" i="82"/>
  <c r="Y45" i="72"/>
  <c r="AA44" i="72"/>
  <c r="O45" i="72"/>
  <c r="Q45" i="72"/>
  <c r="Z46" i="72"/>
  <c r="P46" i="72"/>
  <c r="T47" i="72"/>
  <c r="J47" i="72"/>
  <c r="K48" i="72"/>
  <c r="U48" i="72"/>
  <c r="X46" i="72"/>
  <c r="N46" i="72"/>
  <c r="I49" i="72"/>
  <c r="V47" i="72"/>
  <c r="W47" i="72" s="1"/>
  <c r="L47" i="72"/>
  <c r="M47" i="72" s="1"/>
  <c r="S49" i="72"/>
  <c r="Y46" i="72" a="1"/>
  <c r="T48" i="72" a="1"/>
  <c r="AA45" i="72" a="1"/>
  <c r="K49" i="72" a="1"/>
  <c r="U49" i="72" a="1"/>
  <c r="J48" i="72" a="1"/>
  <c r="V61" i="82" l="1"/>
  <c r="U61" i="82"/>
  <c r="AH58" i="82"/>
  <c r="AG58" i="82"/>
  <c r="AF59" i="82"/>
  <c r="AC59" i="82"/>
  <c r="AD58" i="82"/>
  <c r="AE58" i="82"/>
  <c r="S60" i="82"/>
  <c r="R60" i="82"/>
  <c r="Q61" i="82"/>
  <c r="AA60" i="82"/>
  <c r="AB60" i="82" s="1"/>
  <c r="X61" i="82"/>
  <c r="O62" i="82"/>
  <c r="P62" i="82" s="1"/>
  <c r="T62" i="82" s="1"/>
  <c r="L63" i="82"/>
  <c r="Y46" i="72"/>
  <c r="AA45" i="72"/>
  <c r="O46" i="72"/>
  <c r="Q46" i="72"/>
  <c r="Z47" i="72"/>
  <c r="P47" i="72"/>
  <c r="T48" i="72"/>
  <c r="U49" i="72"/>
  <c r="J48" i="72"/>
  <c r="K49" i="72"/>
  <c r="S50" i="72"/>
  <c r="N47" i="72"/>
  <c r="V48" i="72"/>
  <c r="W48" i="72" s="1"/>
  <c r="L48" i="72"/>
  <c r="M48" i="72" s="1"/>
  <c r="X47" i="72"/>
  <c r="I50" i="72"/>
  <c r="U50" i="72" a="1"/>
  <c r="T49" i="72" a="1"/>
  <c r="AA46" i="72" a="1"/>
  <c r="J49" i="72" a="1"/>
  <c r="Y47" i="72" a="1"/>
  <c r="K50" i="72" a="1"/>
  <c r="AH59" i="82" l="1"/>
  <c r="AG59" i="82"/>
  <c r="AF60" i="82"/>
  <c r="AC60" i="82"/>
  <c r="U62" i="82"/>
  <c r="V62" i="82"/>
  <c r="R61" i="82"/>
  <c r="S61" i="82"/>
  <c r="AD59" i="82"/>
  <c r="AE59" i="82"/>
  <c r="Q62" i="82"/>
  <c r="AA61" i="82"/>
  <c r="AB61" i="82" s="1"/>
  <c r="X62" i="82"/>
  <c r="O63" i="82"/>
  <c r="P63" i="82" s="1"/>
  <c r="T63" i="82" s="1"/>
  <c r="L64" i="82"/>
  <c r="AA46" i="72"/>
  <c r="Y47" i="72"/>
  <c r="O47" i="72"/>
  <c r="Q47" i="72"/>
  <c r="N48" i="72"/>
  <c r="Z48" i="72"/>
  <c r="P48" i="72"/>
  <c r="J49" i="72"/>
  <c r="K50" i="72"/>
  <c r="T49" i="72"/>
  <c r="U50" i="72"/>
  <c r="I51" i="72"/>
  <c r="X48" i="72"/>
  <c r="S51" i="72"/>
  <c r="L49" i="72"/>
  <c r="M49" i="72" s="1"/>
  <c r="V49" i="72"/>
  <c r="W49" i="72" s="1"/>
  <c r="K51" i="72" a="1"/>
  <c r="U51" i="72" a="1"/>
  <c r="J50" i="72" a="1"/>
  <c r="AA47" i="72" a="1"/>
  <c r="T50" i="72" a="1"/>
  <c r="Y48" i="72" a="1"/>
  <c r="AF61" i="82" l="1"/>
  <c r="AC61" i="82"/>
  <c r="AD60" i="82"/>
  <c r="AE60" i="82"/>
  <c r="AG60" i="82"/>
  <c r="AH60" i="82"/>
  <c r="V63" i="82"/>
  <c r="U63" i="82"/>
  <c r="R62" i="82"/>
  <c r="S62" i="82"/>
  <c r="Q63" i="82"/>
  <c r="AA62" i="82"/>
  <c r="AB62" i="82" s="1"/>
  <c r="X63" i="82"/>
  <c r="O64" i="82"/>
  <c r="P64" i="82" s="1"/>
  <c r="T64" i="82" s="1"/>
  <c r="L65" i="82"/>
  <c r="Y48" i="72"/>
  <c r="AA47" i="72"/>
  <c r="O48" i="72"/>
  <c r="Q48" i="72"/>
  <c r="Z49" i="72"/>
  <c r="X49" i="72"/>
  <c r="P49" i="72"/>
  <c r="T50" i="72"/>
  <c r="U51" i="72"/>
  <c r="J50" i="72"/>
  <c r="K51" i="72"/>
  <c r="N49" i="72"/>
  <c r="S52" i="72"/>
  <c r="I52" i="72"/>
  <c r="V50" i="72"/>
  <c r="W50" i="72" s="1"/>
  <c r="L50" i="72"/>
  <c r="M50" i="72" s="1"/>
  <c r="U52" i="72" a="1"/>
  <c r="J51" i="72" a="1"/>
  <c r="T51" i="72" a="1"/>
  <c r="AA48" i="72" a="1"/>
  <c r="K52" i="72" a="1"/>
  <c r="Y49" i="72" a="1"/>
  <c r="V64" i="82" l="1"/>
  <c r="U64" i="82"/>
  <c r="R63" i="82"/>
  <c r="S63" i="82"/>
  <c r="AF62" i="82"/>
  <c r="AC62" i="82"/>
  <c r="AD61" i="82"/>
  <c r="AE61" i="82"/>
  <c r="AH61" i="82"/>
  <c r="AG61" i="82"/>
  <c r="Q64" i="82"/>
  <c r="AA63" i="82"/>
  <c r="AB63" i="82" s="1"/>
  <c r="X64" i="82"/>
  <c r="O65" i="82"/>
  <c r="P65" i="82" s="1"/>
  <c r="T65" i="82" s="1"/>
  <c r="Y49" i="72"/>
  <c r="AA48" i="72"/>
  <c r="O49" i="72"/>
  <c r="Q49" i="72"/>
  <c r="N50" i="72"/>
  <c r="P50" i="72"/>
  <c r="Z50" i="72"/>
  <c r="J51" i="72"/>
  <c r="K52" i="72"/>
  <c r="U52" i="72"/>
  <c r="T51" i="72"/>
  <c r="X50" i="72"/>
  <c r="I53" i="72"/>
  <c r="S53" i="72"/>
  <c r="L51" i="72"/>
  <c r="M51" i="72" s="1"/>
  <c r="V51" i="72"/>
  <c r="W51" i="72" s="1"/>
  <c r="Y50" i="72" a="1"/>
  <c r="T52" i="72" a="1"/>
  <c r="K53" i="72" a="1"/>
  <c r="U53" i="72" a="1"/>
  <c r="AA49" i="72" a="1"/>
  <c r="J52" i="72" a="1"/>
  <c r="V65" i="82" l="1"/>
  <c r="U65" i="82"/>
  <c r="AH62" i="82"/>
  <c r="AG62" i="82"/>
  <c r="R64" i="82"/>
  <c r="S64" i="82"/>
  <c r="AF63" i="82"/>
  <c r="AC63" i="82"/>
  <c r="AD62" i="82"/>
  <c r="AE62" i="82"/>
  <c r="Q65" i="82"/>
  <c r="AA64" i="82"/>
  <c r="AB64" i="82" s="1"/>
  <c r="X65" i="82"/>
  <c r="AA49" i="72"/>
  <c r="Y50" i="72"/>
  <c r="O50" i="72"/>
  <c r="Q50" i="72"/>
  <c r="X51" i="72"/>
  <c r="Z51" i="72"/>
  <c r="P51" i="72"/>
  <c r="U53" i="72"/>
  <c r="T52" i="72"/>
  <c r="J52" i="72"/>
  <c r="K53" i="72"/>
  <c r="N51" i="72"/>
  <c r="V52" i="72"/>
  <c r="W52" i="72" s="1"/>
  <c r="L52" i="72"/>
  <c r="M52" i="72" s="1"/>
  <c r="AA50" i="72" a="1"/>
  <c r="T53" i="72" a="1"/>
  <c r="Y51" i="72" a="1"/>
  <c r="J53" i="72" a="1"/>
  <c r="AE63" i="82" l="1"/>
  <c r="AD63" i="82"/>
  <c r="AF64" i="82"/>
  <c r="AC64" i="82"/>
  <c r="AG63" i="82"/>
  <c r="AH63" i="82"/>
  <c r="R65" i="82"/>
  <c r="S65" i="82"/>
  <c r="AA65" i="82"/>
  <c r="AB65" i="82" s="1"/>
  <c r="Y51" i="72"/>
  <c r="AA50" i="72"/>
  <c r="O51" i="72"/>
  <c r="Q51" i="72"/>
  <c r="X52" i="72"/>
  <c r="P52" i="72"/>
  <c r="Z52" i="72"/>
  <c r="J53" i="72"/>
  <c r="T53" i="72"/>
  <c r="N52" i="72"/>
  <c r="L53" i="72"/>
  <c r="M53" i="72" s="1"/>
  <c r="V53" i="72"/>
  <c r="W53" i="72" s="1"/>
  <c r="AA51" i="72" a="1"/>
  <c r="Y52" i="72" a="1"/>
  <c r="AD64" i="82" l="1"/>
  <c r="AE64" i="82"/>
  <c r="AF65" i="82"/>
  <c r="AC65" i="82"/>
  <c r="AH64" i="82"/>
  <c r="AG64" i="82"/>
  <c r="Y52" i="72"/>
  <c r="AA51" i="72"/>
  <c r="O52" i="72"/>
  <c r="Q52" i="72"/>
  <c r="N53" i="72"/>
  <c r="Z53" i="72"/>
  <c r="P53" i="72"/>
  <c r="X53" i="72"/>
  <c r="AA52" i="72" a="1"/>
  <c r="Y53" i="72" a="1"/>
  <c r="AD65" i="82" l="1"/>
  <c r="AE65" i="82"/>
  <c r="AH65" i="82"/>
  <c r="AG65" i="82"/>
  <c r="Y53" i="72"/>
  <c r="AA52" i="72"/>
  <c r="O53" i="72"/>
  <c r="Q53" i="72"/>
  <c r="AA53" i="72" a="1"/>
  <c r="AA53" i="7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<sst xmlns="http://schemas.openxmlformats.org/spreadsheetml/2006/main" count="488" uniqueCount="216">
  <si>
    <t>SQRTDR</t>
  </si>
  <si>
    <t>VELA</t>
  </si>
  <si>
    <t>KEAS</t>
  </si>
  <si>
    <t>X</t>
  </si>
  <si>
    <t>X.Y</t>
  </si>
  <si>
    <t>X.YY</t>
  </si>
  <si>
    <t>X.YYYY</t>
  </si>
  <si>
    <t>Atmospheric Table</t>
  </si>
  <si>
    <t>h</t>
  </si>
  <si>
    <t>TEMPF</t>
  </si>
  <si>
    <t>TEMPR</t>
  </si>
  <si>
    <t>TEMPC</t>
  </si>
  <si>
    <t>TR</t>
  </si>
  <si>
    <t>PR</t>
  </si>
  <si>
    <t>PRES</t>
  </si>
  <si>
    <t>RHO</t>
  </si>
  <si>
    <t>DR</t>
  </si>
  <si>
    <t>QMS</t>
  </si>
  <si>
    <t>SPW</t>
  </si>
  <si>
    <t>ASPEED</t>
  </si>
  <si>
    <t>VRKIN</t>
  </si>
  <si>
    <t>Temperature (degrees Fahrenheit)</t>
  </si>
  <si>
    <t>Density Ratio</t>
  </si>
  <si>
    <t>Temperature (degrees Rankine)</t>
  </si>
  <si>
    <t>Square root of the Density Ratio</t>
  </si>
  <si>
    <t>Temperature (degrees Celsius)</t>
  </si>
  <si>
    <t>Temperature Ratio</t>
  </si>
  <si>
    <t>Specific Weight (lbs/cu ft)</t>
  </si>
  <si>
    <t>Pressure Ratio</t>
  </si>
  <si>
    <t>Speed of Sound (ft/sec)</t>
  </si>
  <si>
    <t>Pressure (lbs/sq ft)</t>
  </si>
  <si>
    <t>Speed of Sound (knots)</t>
  </si>
  <si>
    <t>Density (slugs/cu ft)</t>
  </si>
  <si>
    <t>Kinematic Viscosity (sq ft/sec)</t>
  </si>
  <si>
    <t>X.YYYYYYYY</t>
  </si>
  <si>
    <t>Dynamic Pressure / Mach squared (lbs/sq ft)</t>
  </si>
  <si>
    <t>P_SL (lbs/ft^2)</t>
  </si>
  <si>
    <t>ρ_SL (slugs/ft^3)</t>
  </si>
  <si>
    <t>a_SL (ft/s)</t>
  </si>
  <si>
    <t>g (ft/sec^2)</t>
  </si>
  <si>
    <t>T_SL ®</t>
  </si>
  <si>
    <t>Aircraft Parameters</t>
  </si>
  <si>
    <t>Name</t>
  </si>
  <si>
    <t>Wing Span</t>
  </si>
  <si>
    <t>Max Load Factor</t>
  </si>
  <si>
    <t>Min Load Factor</t>
  </si>
  <si>
    <t>Max Speed</t>
  </si>
  <si>
    <t>Max Mach Num</t>
  </si>
  <si>
    <t>Max Altitude</t>
  </si>
  <si>
    <t>BD-5J</t>
  </si>
  <si>
    <t>Fuel Capacity</t>
  </si>
  <si>
    <t>Gross Takeoff W</t>
  </si>
  <si>
    <t>Perf Calc Weight</t>
  </si>
  <si>
    <t>CL max</t>
  </si>
  <si>
    <t>no flaps</t>
  </si>
  <si>
    <t>landing flaps</t>
  </si>
  <si>
    <t>takeoff flaps</t>
  </si>
  <si>
    <t xml:space="preserve">Wing Area </t>
  </si>
  <si>
    <t>ft^2</t>
  </si>
  <si>
    <t>ft</t>
  </si>
  <si>
    <t>g's</t>
  </si>
  <si>
    <t>mph</t>
  </si>
  <si>
    <t>M</t>
  </si>
  <si>
    <t>lbs</t>
  </si>
  <si>
    <t>Drag Polar</t>
  </si>
  <si>
    <t>Cd = 0.0200 + 0.062CL^2</t>
  </si>
  <si>
    <t>Max Thrust SL</t>
  </si>
  <si>
    <t>Fuel Consuption SL</t>
  </si>
  <si>
    <t>lb/(lb-hr)</t>
  </si>
  <si>
    <t>Equations</t>
  </si>
  <si>
    <t>Ta = T_SL(rho/rho_SL)</t>
  </si>
  <si>
    <t>FFR = T*c_SL(a/a_SL)</t>
  </si>
  <si>
    <t>Altitude</t>
  </si>
  <si>
    <t>rho</t>
  </si>
  <si>
    <t>a</t>
  </si>
  <si>
    <t>CL_max</t>
  </si>
  <si>
    <t>V_stall</t>
  </si>
  <si>
    <t>Mach</t>
  </si>
  <si>
    <t>max q</t>
  </si>
  <si>
    <t>max mach</t>
  </si>
  <si>
    <t>(max q)</t>
  </si>
  <si>
    <t>Max Mach</t>
  </si>
  <si>
    <t>Limit Mach</t>
  </si>
  <si>
    <t>(ft)</t>
  </si>
  <si>
    <t>(ft/s)</t>
  </si>
  <si>
    <t>(lb/ft^2)</t>
  </si>
  <si>
    <t>(V_stall)</t>
  </si>
  <si>
    <t>Load Factor</t>
  </si>
  <si>
    <t>Altitude:</t>
  </si>
  <si>
    <t>Velocity</t>
  </si>
  <si>
    <t>Climb Load F</t>
  </si>
  <si>
    <t>Descend Load F</t>
  </si>
  <si>
    <t>Descend Limit n</t>
  </si>
  <si>
    <t>Climb Limit n</t>
  </si>
  <si>
    <t>Mach Number</t>
  </si>
  <si>
    <t>Homework 7</t>
  </si>
  <si>
    <t>Homework #8</t>
  </si>
  <si>
    <t>Thrust Required; Range &amp; Endurance</t>
  </si>
  <si>
    <t>Part f</t>
  </si>
  <si>
    <t>Units</t>
  </si>
  <si>
    <t>Format</t>
  </si>
  <si>
    <t>Sea Level</t>
  </si>
  <si>
    <t>10,000 ft</t>
  </si>
  <si>
    <t>Minimum value of Thrust Required (Drag)</t>
  </si>
  <si>
    <t xml:space="preserve"> lb</t>
  </si>
  <si>
    <t xml:space="preserve">     Velocity</t>
  </si>
  <si>
    <t xml:space="preserve"> ft/sec</t>
  </si>
  <si>
    <t xml:space="preserve">     Mach Number</t>
  </si>
  <si>
    <t>---</t>
  </si>
  <si>
    <r>
      <t>Maximum value of C</t>
    </r>
    <r>
      <rPr>
        <b/>
        <vertAlign val="subscript"/>
        <sz val="12"/>
        <color theme="1"/>
        <rFont val="Calibri"/>
        <family val="2"/>
        <scheme val="minor"/>
      </rPr>
      <t>L</t>
    </r>
    <r>
      <rPr>
        <b/>
        <sz val="12"/>
        <color theme="1"/>
        <rFont val="Calibri"/>
        <family val="2"/>
        <scheme val="minor"/>
      </rPr>
      <t>/C</t>
    </r>
    <r>
      <rPr>
        <b/>
        <vertAlign val="subscript"/>
        <sz val="12"/>
        <color theme="1"/>
        <rFont val="Calibri"/>
        <family val="2"/>
        <scheme val="minor"/>
      </rPr>
      <t>D</t>
    </r>
  </si>
  <si>
    <t>Endurance Factor</t>
  </si>
  <si>
    <t>hr</t>
  </si>
  <si>
    <r>
      <t>Maximum value of C</t>
    </r>
    <r>
      <rPr>
        <b/>
        <vertAlign val="subscript"/>
        <sz val="12"/>
        <color theme="1"/>
        <rFont val="Calibri"/>
        <family val="2"/>
        <scheme val="minor"/>
      </rPr>
      <t>L</t>
    </r>
    <r>
      <rPr>
        <b/>
        <vertAlign val="superscript"/>
        <sz val="12"/>
        <color theme="1"/>
        <rFont val="Calibri"/>
        <family val="2"/>
        <scheme val="minor"/>
      </rPr>
      <t>1/2</t>
    </r>
    <r>
      <rPr>
        <b/>
        <sz val="12"/>
        <color theme="1"/>
        <rFont val="Calibri"/>
        <family val="2"/>
        <scheme val="minor"/>
      </rPr>
      <t>/C</t>
    </r>
    <r>
      <rPr>
        <b/>
        <vertAlign val="subscript"/>
        <sz val="12"/>
        <color theme="1"/>
        <rFont val="Calibri"/>
        <family val="2"/>
        <scheme val="minor"/>
      </rPr>
      <t>D</t>
    </r>
  </si>
  <si>
    <t>Range Factor</t>
  </si>
  <si>
    <t>NM</t>
  </si>
  <si>
    <t>Part g</t>
  </si>
  <si>
    <t>Range Distance for 100 lb of fuel burned</t>
  </si>
  <si>
    <t>Endurance Time for 100 lb of fuel burned</t>
  </si>
  <si>
    <t>min</t>
  </si>
  <si>
    <t>Cd0</t>
  </si>
  <si>
    <t>K</t>
  </si>
  <si>
    <t>T_SL_max</t>
  </si>
  <si>
    <t>FFC_SL</t>
  </si>
  <si>
    <t>Vel</t>
  </si>
  <si>
    <t>CL</t>
  </si>
  <si>
    <t>Cd</t>
  </si>
  <si>
    <t>D</t>
  </si>
  <si>
    <t>CL/CD</t>
  </si>
  <si>
    <t>End Fac</t>
  </si>
  <si>
    <t>sqrt(CL)/CD</t>
  </si>
  <si>
    <t>Ran Fac</t>
  </si>
  <si>
    <t>E</t>
  </si>
  <si>
    <t>R</t>
  </si>
  <si>
    <t>Homework #9</t>
  </si>
  <si>
    <t>Specific Energy &amp; Specific Excess Power</t>
  </si>
  <si>
    <t>Problem 1a: 150 KTAS / Sea Level</t>
  </si>
  <si>
    <t>Value</t>
  </si>
  <si>
    <r>
      <t>Specific Energy (E</t>
    </r>
    <r>
      <rPr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)</t>
    </r>
  </si>
  <si>
    <r>
      <t>Specific Excess Power (P</t>
    </r>
    <r>
      <rPr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)</t>
    </r>
  </si>
  <si>
    <t>ft/sec</t>
  </si>
  <si>
    <t>Maximum altitude attainable at that energy level</t>
  </si>
  <si>
    <t>Maximum attainable speed at that energy level</t>
  </si>
  <si>
    <t xml:space="preserve">          Mach Number</t>
  </si>
  <si>
    <t>Problem 1b: 175 KTAS / 10,000 ft</t>
  </si>
  <si>
    <t>Gravitational Constant</t>
  </si>
  <si>
    <t>g</t>
  </si>
  <si>
    <t>ft/s^2</t>
  </si>
  <si>
    <t>Flight Speed 1</t>
  </si>
  <si>
    <t>KTAS</t>
  </si>
  <si>
    <t>NM/hr</t>
  </si>
  <si>
    <t>Flight Speed 2</t>
  </si>
  <si>
    <t>V1</t>
  </si>
  <si>
    <t>ft/s</t>
  </si>
  <si>
    <t>V2</t>
  </si>
  <si>
    <t>Drag:</t>
  </si>
  <si>
    <t>Homework #10</t>
  </si>
  <si>
    <t>Minimum and Maximum Velocities</t>
  </si>
  <si>
    <t>Part a - Minimum Speeds</t>
  </si>
  <si>
    <t>Minimum Velocity where Thrust = Drag</t>
  </si>
  <si>
    <t>Minimum Velocity due to aerodynamic stall</t>
  </si>
  <si>
    <t>Part b - Maximum Speeds</t>
  </si>
  <si>
    <t>Maximum Velocity where Thrust = Drag</t>
  </si>
  <si>
    <t>Maximum Velocity due to aircraft limitations</t>
  </si>
  <si>
    <t>CD0</t>
  </si>
  <si>
    <t>Aircraft Max Velocity</t>
  </si>
  <si>
    <t>Aircraft Max Velocity (SL)</t>
  </si>
  <si>
    <t>Aircraft Max Velocity (10k ft)</t>
  </si>
  <si>
    <t>&lt; Using Aircraft Limitations</t>
  </si>
  <si>
    <t>Maximum Velocity due to max q</t>
  </si>
  <si>
    <t>&lt; Using max q</t>
  </si>
  <si>
    <t>Thrust available</t>
  </si>
  <si>
    <t>Part c) Response:</t>
  </si>
  <si>
    <t>For both graphs, the minimum V where T=D seemed to match between the explicit solution as well as the graphical interpretation. For example, at SL, the explicit solution came out to be M=0.0675 and on the graph, the Thrust Required Curve meets the Thrust Available Curve at a little less than 0.075 (halfway between the grid lines). Additionally, at SL the maximum V for T=D was M=0.419 and on the graph, the lines intersect at a little under 0.425. Both of these results verifies that our explicit solutions and graphical solutions agree.</t>
  </si>
  <si>
    <t>Homework # 11</t>
  </si>
  <si>
    <t>Rate of Climb, Rate of Descent, &amp; Ceilings</t>
  </si>
  <si>
    <t>Part a</t>
  </si>
  <si>
    <t>20,000 ft</t>
  </si>
  <si>
    <t>Maximum Rate of Climb</t>
  </si>
  <si>
    <t xml:space="preserve"> ft/min</t>
  </si>
  <si>
    <t>Velocity for Maximum Rate of Climb</t>
  </si>
  <si>
    <t>Maximum Climb Angle</t>
  </si>
  <si>
    <t>degrees</t>
  </si>
  <si>
    <t>Velocity for Maximum Climb Angle</t>
  </si>
  <si>
    <t>Part b</t>
  </si>
  <si>
    <t>Minimum Rate of Descent</t>
  </si>
  <si>
    <t>Velocity for Minimum Rate of Descent</t>
  </si>
  <si>
    <t>Minimum Glide Angle</t>
  </si>
  <si>
    <t>Velocity for Minimum Glide Angle</t>
  </si>
  <si>
    <t>Part e</t>
  </si>
  <si>
    <t>Absolute Ceiling</t>
  </si>
  <si>
    <t>Service Ceiling</t>
  </si>
  <si>
    <t>Cruise Ceiling</t>
  </si>
  <si>
    <t>Z</t>
  </si>
  <si>
    <t>Max Thrust</t>
  </si>
  <si>
    <t>Rho</t>
  </si>
  <si>
    <t>a_speed</t>
  </si>
  <si>
    <t>slugs/ft^3</t>
  </si>
  <si>
    <t>CL^(3/2) / CD</t>
  </si>
  <si>
    <t>Theta</t>
  </si>
  <si>
    <t>deg</t>
  </si>
  <si>
    <t>VH</t>
  </si>
  <si>
    <t>Vv</t>
  </si>
  <si>
    <t>Thrust Available</t>
  </si>
  <si>
    <t>Climbing</t>
  </si>
  <si>
    <t>Descending</t>
  </si>
  <si>
    <t>ft/min</t>
  </si>
  <si>
    <t>Derive linear relationship for R/C max</t>
  </si>
  <si>
    <t>b</t>
  </si>
  <si>
    <t>1/min</t>
  </si>
  <si>
    <t>Max R/C</t>
  </si>
  <si>
    <t>for R/C = a + bh</t>
  </si>
  <si>
    <t xml:space="preserve">* I tried to move the tables to separate sheets but it ruined all of my references so unfortunately I </t>
  </si>
  <si>
    <t>will need to keep them on the same sheet. In the future I will start it on separate sheets</t>
  </si>
  <si>
    <t>Graphs Review:</t>
  </si>
  <si>
    <t>Both graphs match the max climb rate and the min descend rate the was calcualted exlicitly.</t>
  </si>
  <si>
    <t>Each point was located directly on the apex of the curves.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</si>
</sst>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000"/>
    <numFmt numFmtId="165" formatCode="0.00000"/>
    <numFmt numFmtId="166" formatCode="0.0"/>
    <numFmt numFmtId="167" formatCode="0.00000000"/>
    <numFmt numFmtId="168" formatCode="_(* #,##0_);_(* \(#,##0\);_(* &quot;-&quot;??_);_(@_)"/>
    <numFmt numFmtId="169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116">
    <xf numFmtId="0" fontId="0" fillId="0" borderId="0" xfId="0"/>
    <xf numFmtId="164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/>
    <xf numFmtId="165" fontId="2" fillId="0" borderId="0" xfId="0" applyNumberFormat="1" applyFont="1"/>
    <xf numFmtId="165" fontId="4" fillId="0" borderId="0" xfId="0" applyNumberFormat="1" applyFont="1"/>
    <xf numFmtId="0" fontId="1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166" fontId="6" fillId="0" borderId="0" xfId="0" applyNumberFormat="1" applyFont="1"/>
    <xf numFmtId="166" fontId="7" fillId="0" borderId="0" xfId="0" applyNumberFormat="1" applyFont="1"/>
    <xf numFmtId="164" fontId="7" fillId="0" borderId="0" xfId="0" applyNumberFormat="1" applyFont="1"/>
    <xf numFmtId="2" fontId="7" fillId="0" borderId="0" xfId="0" applyNumberFormat="1" applyFont="1"/>
    <xf numFmtId="167" fontId="6" fillId="0" borderId="0" xfId="0" applyNumberFormat="1" applyFont="1"/>
    <xf numFmtId="0" fontId="0" fillId="2" borderId="0" xfId="0" applyFill="1"/>
    <xf numFmtId="0" fontId="6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0" fillId="0" borderId="1" xfId="0" applyBorder="1"/>
    <xf numFmtId="166" fontId="0" fillId="0" borderId="0" xfId="0" applyNumberFormat="1"/>
    <xf numFmtId="167" fontId="0" fillId="0" borderId="0" xfId="0" applyNumberFormat="1"/>
    <xf numFmtId="0" fontId="0" fillId="2" borderId="1" xfId="0" applyFill="1" applyBorder="1" applyAlignment="1">
      <alignment horizontal="center"/>
    </xf>
    <xf numFmtId="168" fontId="0" fillId="2" borderId="1" xfId="1" applyNumberFormat="1" applyFont="1" applyFill="1" applyBorder="1"/>
    <xf numFmtId="168" fontId="0" fillId="2" borderId="2" xfId="1" applyNumberFormat="1" applyFont="1" applyFill="1" applyBorder="1"/>
    <xf numFmtId="166" fontId="0" fillId="0" borderId="2" xfId="0" applyNumberFormat="1" applyBorder="1"/>
    <xf numFmtId="164" fontId="0" fillId="0" borderId="2" xfId="0" applyNumberFormat="1" applyBorder="1"/>
    <xf numFmtId="2" fontId="0" fillId="0" borderId="2" xfId="0" applyNumberFormat="1" applyBorder="1"/>
    <xf numFmtId="167" fontId="0" fillId="0" borderId="2" xfId="0" applyNumberFormat="1" applyBorder="1"/>
    <xf numFmtId="0" fontId="0" fillId="0" borderId="2" xfId="0" applyBorder="1"/>
    <xf numFmtId="0" fontId="0" fillId="4" borderId="1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4" borderId="0" xfId="0" applyFill="1"/>
    <xf numFmtId="0" fontId="0" fillId="4" borderId="8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2" xfId="0" applyFill="1" applyBorder="1"/>
    <xf numFmtId="0" fontId="0" fillId="4" borderId="7" xfId="0" applyFill="1" applyBorder="1"/>
    <xf numFmtId="0" fontId="0" fillId="4" borderId="3" xfId="0" applyFill="1" applyBorder="1"/>
    <xf numFmtId="0" fontId="0" fillId="4" borderId="1" xfId="0" applyFill="1" applyBorder="1"/>
    <xf numFmtId="0" fontId="0" fillId="4" borderId="6" xfId="0" applyFill="1" applyBorder="1"/>
    <xf numFmtId="0" fontId="0" fillId="4" borderId="9" xfId="0" applyFill="1" applyBorder="1"/>
    <xf numFmtId="0" fontId="0" fillId="4" borderId="11" xfId="0" applyFill="1" applyBorder="1"/>
    <xf numFmtId="0" fontId="0" fillId="4" borderId="10" xfId="0" applyFill="1" applyBorder="1"/>
    <xf numFmtId="0" fontId="0" fillId="4" borderId="2" xfId="0" applyFill="1" applyBorder="1" applyAlignment="1">
      <alignment horizontal="left" indent="1"/>
    </xf>
    <xf numFmtId="0" fontId="0" fillId="4" borderId="6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0" borderId="0" xfId="0" applyAlignment="1">
      <alignment horizontal="left"/>
    </xf>
    <xf numFmtId="169" fontId="0" fillId="0" borderId="0" xfId="0" applyNumberFormat="1"/>
    <xf numFmtId="0" fontId="0" fillId="2" borderId="0" xfId="0" applyFill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6" fillId="3" borderId="12" xfId="0" applyFont="1" applyFill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0" fontId="7" fillId="0" borderId="12" xfId="0" applyFont="1" applyBorder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7" fillId="0" borderId="12" xfId="0" applyFont="1" applyBorder="1" applyAlignment="1">
      <alignment vertical="center"/>
    </xf>
    <xf numFmtId="0" fontId="7" fillId="0" borderId="12" xfId="0" quotePrefix="1" applyFont="1" applyBorder="1" applyAlignment="1">
      <alignment horizontal="center" vertical="center"/>
    </xf>
    <xf numFmtId="2" fontId="7" fillId="6" borderId="12" xfId="0" applyNumberFormat="1" applyFont="1" applyFill="1" applyBorder="1" applyAlignment="1">
      <alignment horizontal="center" vertical="center"/>
    </xf>
    <xf numFmtId="166" fontId="7" fillId="6" borderId="12" xfId="0" applyNumberFormat="1" applyFont="1" applyFill="1" applyBorder="1" applyAlignment="1">
      <alignment horizontal="center" vertical="center"/>
    </xf>
    <xf numFmtId="164" fontId="7" fillId="6" borderId="12" xfId="0" applyNumberFormat="1" applyFont="1" applyFill="1" applyBorder="1" applyAlignment="1">
      <alignment horizontal="center" vertical="center"/>
    </xf>
    <xf numFmtId="0" fontId="0" fillId="2" borderId="3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1" xfId="0" applyFill="1" applyBorder="1"/>
    <xf numFmtId="0" fontId="0" fillId="2" borderId="5" xfId="0" applyFill="1" applyBorder="1"/>
    <xf numFmtId="2" fontId="0" fillId="0" borderId="1" xfId="0" applyNumberFormat="1" applyBorder="1"/>
    <xf numFmtId="0" fontId="0" fillId="0" borderId="5" xfId="0" applyBorder="1"/>
    <xf numFmtId="2" fontId="0" fillId="0" borderId="6" xfId="0" applyNumberFormat="1" applyBorder="1"/>
    <xf numFmtId="0" fontId="1" fillId="7" borderId="0" xfId="0" applyFont="1" applyFill="1" applyAlignment="1">
      <alignment horizontal="center"/>
    </xf>
    <xf numFmtId="0" fontId="6" fillId="8" borderId="12" xfId="0" applyFont="1" applyFill="1" applyBorder="1" applyAlignment="1">
      <alignment vertical="center" wrapText="1"/>
    </xf>
    <xf numFmtId="0" fontId="11" fillId="9" borderId="12" xfId="0" applyFont="1" applyFill="1" applyBorder="1" applyAlignment="1">
      <alignment horizontal="center" vertical="center" wrapText="1"/>
    </xf>
    <xf numFmtId="0" fontId="7" fillId="0" borderId="12" xfId="0" applyFont="1" applyBorder="1" applyAlignment="1">
      <alignment vertical="center" wrapText="1"/>
    </xf>
    <xf numFmtId="0" fontId="7" fillId="0" borderId="12" xfId="0" applyFont="1" applyBorder="1" applyAlignment="1">
      <alignment horizontal="center" vertical="center" wrapText="1"/>
    </xf>
    <xf numFmtId="166" fontId="7" fillId="0" borderId="12" xfId="0" applyNumberFormat="1" applyFont="1" applyBorder="1" applyAlignment="1">
      <alignment horizontal="center" vertical="center" wrapText="1"/>
    </xf>
    <xf numFmtId="166" fontId="6" fillId="6" borderId="12" xfId="0" applyNumberFormat="1" applyFont="1" applyFill="1" applyBorder="1" applyAlignment="1">
      <alignment horizontal="center" vertical="center" wrapText="1"/>
    </xf>
    <xf numFmtId="164" fontId="6" fillId="6" borderId="12" xfId="0" applyNumberFormat="1" applyFont="1" applyFill="1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11" fillId="8" borderId="1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right"/>
    </xf>
    <xf numFmtId="0" fontId="1" fillId="10" borderId="0" xfId="0" applyFont="1" applyFill="1" applyAlignment="1">
      <alignment horizontal="center"/>
    </xf>
    <xf numFmtId="0" fontId="14" fillId="0" borderId="0" xfId="0" applyFont="1" applyAlignment="1">
      <alignment horizontal="left"/>
    </xf>
    <xf numFmtId="3" fontId="6" fillId="3" borderId="13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0" fillId="0" borderId="0" xfId="0" applyAlignment="1">
      <alignment wrapText="1"/>
    </xf>
    <xf numFmtId="2" fontId="6" fillId="3" borderId="12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0" fillId="3" borderId="0" xfId="0" applyFill="1"/>
    <xf numFmtId="164" fontId="6" fillId="6" borderId="12" xfId="0" applyNumberFormat="1" applyFont="1" applyFill="1" applyBorder="1" applyAlignment="1">
      <alignment horizontal="center" vertical="center"/>
    </xf>
    <xf numFmtId="2" fontId="6" fillId="6" borderId="12" xfId="0" applyNumberFormat="1" applyFont="1" applyFill="1" applyBorder="1" applyAlignment="1">
      <alignment horizontal="center" vertical="center"/>
    </xf>
    <xf numFmtId="166" fontId="6" fillId="6" borderId="12" xfId="0" applyNumberFormat="1" applyFont="1" applyFill="1" applyBorder="1" applyAlignment="1">
      <alignment horizontal="center" vertical="center"/>
    </xf>
    <xf numFmtId="0" fontId="0" fillId="2" borderId="6" xfId="0" applyFill="1" applyBorder="1"/>
    <xf numFmtId="0" fontId="0" fillId="2" borderId="2" xfId="0" applyFill="1" applyBorder="1"/>
    <xf numFmtId="0" fontId="0" fillId="2" borderId="7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7" fillId="0" borderId="0" xfId="0" applyFont="1" applyAlignment="1">
      <alignment horizontal="center" vertical="center"/>
    </xf>
    <xf numFmtId="1" fontId="6" fillId="6" borderId="12" xfId="0" applyNumberFormat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1" fillId="4" borderId="9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0" fillId="0" borderId="0" xfId="0" applyAlignment="1">
      <alignment horizontal="center" wrapText="1"/>
    </xf>
    <xf numFmtId="0" fontId="6" fillId="2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Climb Rate vs</a:t>
            </a:r>
            <a:r>
              <a:rPr lang="en-US" baseline="0"/>
              <a:t> Mach Number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Sea Level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'HW#11 Calculations'!$M$8:$M$65</c:f>
              <c:numCache>
                <c:formatCode>General</c:formatCode>
                <c:ptCount val="58"/>
                <c:pt idx="0">
                  <c:v>4.4784808992789644E-2</c:v>
                </c:pt>
                <c:pt idx="1">
                  <c:v>5.3741770791347572E-2</c:v>
                </c:pt>
                <c:pt idx="2">
                  <c:v>6.2698732589905506E-2</c:v>
                </c:pt>
                <c:pt idx="3">
                  <c:v>7.1655694388463434E-2</c:v>
                </c:pt>
                <c:pt idx="4">
                  <c:v>8.0612656187021361E-2</c:v>
                </c:pt>
                <c:pt idx="5">
                  <c:v>8.9569617985579289E-2</c:v>
                </c:pt>
                <c:pt idx="6">
                  <c:v>9.8526579784137217E-2</c:v>
                </c:pt>
                <c:pt idx="7">
                  <c:v>0.10748354158269514</c:v>
                </c:pt>
                <c:pt idx="8">
                  <c:v>0.11644050338125307</c:v>
                </c:pt>
                <c:pt idx="9">
                  <c:v>0.12539746517981101</c:v>
                </c:pt>
                <c:pt idx="10">
                  <c:v>0.13435442697836894</c:v>
                </c:pt>
                <c:pt idx="11">
                  <c:v>0.14331138877692687</c:v>
                </c:pt>
                <c:pt idx="12">
                  <c:v>0.1522683505754848</c:v>
                </c:pt>
                <c:pt idx="13">
                  <c:v>0.16122531237404272</c:v>
                </c:pt>
                <c:pt idx="14">
                  <c:v>0.17018227417260065</c:v>
                </c:pt>
                <c:pt idx="15">
                  <c:v>0.17913923597115858</c:v>
                </c:pt>
                <c:pt idx="16">
                  <c:v>0.18809619776971651</c:v>
                </c:pt>
                <c:pt idx="17">
                  <c:v>0.19705315956827443</c:v>
                </c:pt>
                <c:pt idx="18">
                  <c:v>0.20601012136683236</c:v>
                </c:pt>
                <c:pt idx="19">
                  <c:v>0.21496708316539029</c:v>
                </c:pt>
                <c:pt idx="20">
                  <c:v>0.22392404496394822</c:v>
                </c:pt>
                <c:pt idx="21">
                  <c:v>0.23288100676250614</c:v>
                </c:pt>
                <c:pt idx="22">
                  <c:v>0.24183796856106407</c:v>
                </c:pt>
                <c:pt idx="23">
                  <c:v>0.25079493035962203</c:v>
                </c:pt>
                <c:pt idx="24">
                  <c:v>0.25975189215817995</c:v>
                </c:pt>
                <c:pt idx="25">
                  <c:v>0.26870885395673788</c:v>
                </c:pt>
                <c:pt idx="26">
                  <c:v>0.27766581575529581</c:v>
                </c:pt>
                <c:pt idx="27">
                  <c:v>0.28662277755385374</c:v>
                </c:pt>
                <c:pt idx="28">
                  <c:v>0.29557973935241166</c:v>
                </c:pt>
                <c:pt idx="29">
                  <c:v>0.30453670115096959</c:v>
                </c:pt>
                <c:pt idx="30">
                  <c:v>0.31349366294952752</c:v>
                </c:pt>
                <c:pt idx="31">
                  <c:v>0.32245062474808545</c:v>
                </c:pt>
                <c:pt idx="32">
                  <c:v>0.33140758654664337</c:v>
                </c:pt>
                <c:pt idx="33">
                  <c:v>0.3403645483452013</c:v>
                </c:pt>
                <c:pt idx="34">
                  <c:v>0.34932151014375923</c:v>
                </c:pt>
                <c:pt idx="35">
                  <c:v>0.35827847194231716</c:v>
                </c:pt>
                <c:pt idx="36">
                  <c:v>0.36723543374087508</c:v>
                </c:pt>
                <c:pt idx="37">
                  <c:v>0.37619239553943301</c:v>
                </c:pt>
                <c:pt idx="38">
                  <c:v>0.38514935733799094</c:v>
                </c:pt>
                <c:pt idx="39">
                  <c:v>0.39410631913654887</c:v>
                </c:pt>
                <c:pt idx="40">
                  <c:v>0.40306328093510679</c:v>
                </c:pt>
                <c:pt idx="41">
                  <c:v>0.41202024273366472</c:v>
                </c:pt>
                <c:pt idx="42">
                  <c:v>0.42097720453222265</c:v>
                </c:pt>
                <c:pt idx="43">
                  <c:v>0.42993416633078058</c:v>
                </c:pt>
                <c:pt idx="44">
                  <c:v>0.4388911281293385</c:v>
                </c:pt>
                <c:pt idx="45">
                  <c:v>0.44784808992789643</c:v>
                </c:pt>
                <c:pt idx="46">
                  <c:v>0.45680505172645436</c:v>
                </c:pt>
                <c:pt idx="47">
                  <c:v>0.46576201352501229</c:v>
                </c:pt>
                <c:pt idx="48">
                  <c:v>0.47471897532357021</c:v>
                </c:pt>
                <c:pt idx="49">
                  <c:v>0.48367593712212814</c:v>
                </c:pt>
                <c:pt idx="50">
                  <c:v>0.49263289892068607</c:v>
                </c:pt>
                <c:pt idx="51">
                  <c:v>0.50158986071924405</c:v>
                </c:pt>
                <c:pt idx="52">
                  <c:v>0.51054682251780192</c:v>
                </c:pt>
                <c:pt idx="53">
                  <c:v>0.51950378431635991</c:v>
                </c:pt>
                <c:pt idx="54">
                  <c:v>0.52846074611491778</c:v>
                </c:pt>
                <c:pt idx="55">
                  <c:v>0.53741770791347576</c:v>
                </c:pt>
                <c:pt idx="56">
                  <c:v>0.54637466971203363</c:v>
                </c:pt>
                <c:pt idx="57">
                  <c:v>0.55533163151059162</c:v>
                </c:pt>
              </c:numCache>
            </c:numRef>
          </c:xVal>
          <c:yVal>
            <c:numRef>
              <c:f>'HW#11 Calculations'!$S$8:$S$65</c:f>
              <c:numCache>
                <c:formatCode>General</c:formatCode>
                <c:ptCount val="58"/>
                <c:pt idx="0">
                  <c:v>-824.70327442158214</c:v>
                </c:pt>
                <c:pt idx="1">
                  <c:v>-447.06236301176295</c:v>
                </c:pt>
                <c:pt idx="2">
                  <c:v>-142.55630169770146</c:v>
                </c:pt>
                <c:pt idx="3">
                  <c:v>115.07247947451123</c:v>
                </c:pt>
                <c:pt idx="4">
                  <c:v>340.25179303215828</c:v>
                </c:pt>
                <c:pt idx="5">
                  <c:v>541.49457278920909</c:v>
                </c:pt>
                <c:pt idx="6">
                  <c:v>724.08745507964466</c:v>
                </c:pt>
                <c:pt idx="7">
                  <c:v>891.43506937411848</c:v>
                </c:pt>
                <c:pt idx="8">
                  <c:v>1045.7838870735454</c:v>
                </c:pt>
                <c:pt idx="9">
                  <c:v>1188.6358493911493</c:v>
                </c:pt>
                <c:pt idx="10">
                  <c:v>1320.9965440816952</c:v>
                </c:pt>
                <c:pt idx="11">
                  <c:v>1443.5303158972556</c:v>
                </c:pt>
                <c:pt idx="12">
                  <c:v>1556.6606321762408</c:v>
                </c:pt>
                <c:pt idx="13">
                  <c:v>1660.6369932360788</c:v>
                </c:pt>
                <c:pt idx="14">
                  <c:v>1755.5807131682152</c:v>
                </c:pt>
                <c:pt idx="15">
                  <c:v>1841.5169663946044</c:v>
                </c:pt>
                <c:pt idx="16">
                  <c:v>1918.397678065211</c:v>
                </c:pt>
                <c:pt idx="17">
                  <c:v>1986.1181716198223</c:v>
                </c:pt>
                <c:pt idx="18">
                  <c:v>2044.5294735076559</c:v>
                </c:pt>
                <c:pt idx="19">
                  <c:v>2093.4475417270592</c:v>
                </c:pt>
                <c:pt idx="20">
                  <c:v>2132.6602795156837</c:v>
                </c:pt>
                <c:pt idx="21">
                  <c:v>2161.9329304967723</c:v>
                </c:pt>
                <c:pt idx="22">
                  <c:v>2181.0122749040534</c:v>
                </c:pt>
                <c:pt idx="23">
                  <c:v>2189.6299266155747</c:v>
                </c:pt>
                <c:pt idx="24">
                  <c:v>2187.5049480426237</c:v>
                </c:pt>
                <c:pt idx="25">
                  <c:v>2174.3459420408476</c:v>
                </c:pt>
                <c:pt idx="26">
                  <c:v>2149.852738935358</c:v>
                </c:pt>
                <c:pt idx="27">
                  <c:v>2113.717767228628</c:v>
                </c:pt>
                <c:pt idx="28">
                  <c:v>2065.6271750887704</c:v>
                </c:pt>
                <c:pt idx="29">
                  <c:v>2005.2617539281207</c:v>
                </c:pt>
                <c:pt idx="30">
                  <c:v>1932.2977036540594</c:v>
                </c:pt>
                <c:pt idx="31">
                  <c:v>1846.4072703780398</c:v>
                </c:pt>
                <c:pt idx="32">
                  <c:v>1747.2592807123276</c:v>
                </c:pt>
                <c:pt idx="33">
                  <c:v>1634.5195917041074</c:v>
                </c:pt>
                <c:pt idx="34">
                  <c:v>1507.8514715489594</c:v>
                </c:pt>
                <c:pt idx="35">
                  <c:v>1366.9159231973028</c:v>
                </c:pt>
                <c:pt idx="36">
                  <c:v>1211.3719606038071</c:v>
                </c:pt>
                <c:pt idx="37">
                  <c:v>1040.876845512606</c:v>
                </c:pt>
                <c:pt idx="38">
                  <c:v>855.08629120270007</c:v>
                </c:pt>
                <c:pt idx="39">
                  <c:v>653.65463844991223</c:v>
                </c:pt>
                <c:pt idx="40">
                  <c:v>436.235008027231</c:v>
                </c:pt>
                <c:pt idx="41">
                  <c:v>202.47943331382976</c:v>
                </c:pt>
                <c:pt idx="42">
                  <c:v>-47.96102402476442</c:v>
                </c:pt>
                <c:pt idx="43">
                  <c:v>-315.43617281646948</c:v>
                </c:pt>
                <c:pt idx="44">
                  <c:v>-600.29660355681472</c:v>
                </c:pt>
                <c:pt idx="45">
                  <c:v>-902.8936102421568</c:v>
                </c:pt>
                <c:pt idx="46">
                  <c:v>-1223.5791213990299</c:v>
                </c:pt>
                <c:pt idx="47">
                  <c:v>-1562.7056390716127</c:v>
                </c:pt>
                <c:pt idx="48">
                  <c:v>-1920.6261847162968</c:v>
                </c:pt>
                <c:pt idx="49">
                  <c:v>-2297.6942511079719</c:v>
                </c:pt>
                <c:pt idx="50">
                  <c:v>-2694.2637594928683</c:v>
                </c:pt>
                <c:pt idx="51">
                  <c:v>-3110.6890213322108</c:v>
                </c:pt>
                <c:pt idx="52">
                  <c:v>-3547.3247040728161</c:v>
                </c:pt>
                <c:pt idx="53">
                  <c:v>-4004.5258004586881</c:v>
                </c:pt>
                <c:pt idx="54">
                  <c:v>-4482.6476009634544</c:v>
                </c:pt>
                <c:pt idx="55">
                  <c:v>-4982.0456689795774</c:v>
                </c:pt>
                <c:pt idx="56">
                  <c:v>-5503.0758184479346</c:v>
                </c:pt>
                <c:pt idx="57">
                  <c:v>-6046.0940936523211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DA-404C-817D-48C56B9FFA9B}"/>
            </c:ext>
          </c:extLst>
        </c:ser>
        <c:ser>
          <c:idx val="1"/>
          <c:order val="1"/>
          <c:tx>
            <c:v>20,000 ft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'HW#11 Calculations'!$Y$8:$Y$65</c:f>
              <c:numCache>
                <c:formatCode>General</c:formatCode>
                <c:ptCount val="58"/>
                <c:pt idx="0">
                  <c:v>4.8222816254588324E-2</c:v>
                </c:pt>
                <c:pt idx="1">
                  <c:v>5.7867379505505988E-2</c:v>
                </c:pt>
                <c:pt idx="2">
                  <c:v>6.7511942756423651E-2</c:v>
                </c:pt>
                <c:pt idx="3">
                  <c:v>7.7156506007341322E-2</c:v>
                </c:pt>
                <c:pt idx="4">
                  <c:v>8.6801069258258978E-2</c:v>
                </c:pt>
                <c:pt idx="5">
                  <c:v>9.6445632509176649E-2</c:v>
                </c:pt>
                <c:pt idx="6">
                  <c:v>0.10609019576009431</c:v>
                </c:pt>
                <c:pt idx="7">
                  <c:v>0.11573475901101198</c:v>
                </c:pt>
                <c:pt idx="8">
                  <c:v>0.12537932226192963</c:v>
                </c:pt>
                <c:pt idx="9">
                  <c:v>0.1350238855128473</c:v>
                </c:pt>
                <c:pt idx="10">
                  <c:v>0.14466844876376497</c:v>
                </c:pt>
                <c:pt idx="11">
                  <c:v>0.15431301201468264</c:v>
                </c:pt>
                <c:pt idx="12">
                  <c:v>0.16395757526560029</c:v>
                </c:pt>
                <c:pt idx="13">
                  <c:v>0.17360213851651796</c:v>
                </c:pt>
                <c:pt idx="14">
                  <c:v>0.18324670176743563</c:v>
                </c:pt>
                <c:pt idx="15">
                  <c:v>0.1928912650183533</c:v>
                </c:pt>
                <c:pt idx="16">
                  <c:v>0.20253582826927094</c:v>
                </c:pt>
                <c:pt idx="17">
                  <c:v>0.21218039152018861</c:v>
                </c:pt>
                <c:pt idx="18">
                  <c:v>0.22182495477110628</c:v>
                </c:pt>
                <c:pt idx="19">
                  <c:v>0.23146951802202395</c:v>
                </c:pt>
                <c:pt idx="20">
                  <c:v>0.24111408127294162</c:v>
                </c:pt>
                <c:pt idx="21">
                  <c:v>0.25075864452385926</c:v>
                </c:pt>
                <c:pt idx="22">
                  <c:v>0.26040320777477693</c:v>
                </c:pt>
                <c:pt idx="23">
                  <c:v>0.27004777102569461</c:v>
                </c:pt>
                <c:pt idx="24">
                  <c:v>0.27969233427661228</c:v>
                </c:pt>
                <c:pt idx="25">
                  <c:v>0.28933689752752995</c:v>
                </c:pt>
                <c:pt idx="26">
                  <c:v>0.29898146077844762</c:v>
                </c:pt>
                <c:pt idx="27">
                  <c:v>0.30862602402936529</c:v>
                </c:pt>
                <c:pt idx="28">
                  <c:v>0.3182705872802829</c:v>
                </c:pt>
                <c:pt idx="29">
                  <c:v>0.32791515053120057</c:v>
                </c:pt>
                <c:pt idx="30">
                  <c:v>0.33755971378211824</c:v>
                </c:pt>
                <c:pt idx="31">
                  <c:v>0.34720427703303591</c:v>
                </c:pt>
                <c:pt idx="32">
                  <c:v>0.35684884028395358</c:v>
                </c:pt>
                <c:pt idx="33">
                  <c:v>0.36649340353487125</c:v>
                </c:pt>
                <c:pt idx="34">
                  <c:v>0.37613796678578892</c:v>
                </c:pt>
                <c:pt idx="35">
                  <c:v>0.38578253003670659</c:v>
                </c:pt>
                <c:pt idx="36">
                  <c:v>0.39542709328762427</c:v>
                </c:pt>
                <c:pt idx="37">
                  <c:v>0.40507165653854188</c:v>
                </c:pt>
                <c:pt idx="38">
                  <c:v>0.41471621978945955</c:v>
                </c:pt>
                <c:pt idx="39">
                  <c:v>0.42436078304037722</c:v>
                </c:pt>
                <c:pt idx="40">
                  <c:v>0.43400534629129489</c:v>
                </c:pt>
                <c:pt idx="41">
                  <c:v>0.44364990954221256</c:v>
                </c:pt>
                <c:pt idx="42">
                  <c:v>0.45329447279313023</c:v>
                </c:pt>
                <c:pt idx="43">
                  <c:v>0.4629390360440479</c:v>
                </c:pt>
                <c:pt idx="44">
                  <c:v>0.47258359929496557</c:v>
                </c:pt>
                <c:pt idx="45">
                  <c:v>0.48222816254588324</c:v>
                </c:pt>
                <c:pt idx="46">
                  <c:v>0.49187272579680086</c:v>
                </c:pt>
                <c:pt idx="47">
                  <c:v>0.50151728904771853</c:v>
                </c:pt>
                <c:pt idx="48">
                  <c:v>0.5111618522986362</c:v>
                </c:pt>
                <c:pt idx="49">
                  <c:v>0.52080641554955387</c:v>
                </c:pt>
                <c:pt idx="50">
                  <c:v>0.53045097880047154</c:v>
                </c:pt>
                <c:pt idx="51">
                  <c:v>0.54009554205138921</c:v>
                </c:pt>
                <c:pt idx="52">
                  <c:v>0.54974010530230688</c:v>
                </c:pt>
                <c:pt idx="53">
                  <c:v>0.55938466855322455</c:v>
                </c:pt>
                <c:pt idx="54">
                  <c:v>0.56902923180414222</c:v>
                </c:pt>
                <c:pt idx="55">
                  <c:v>0.57867379505505989</c:v>
                </c:pt>
                <c:pt idx="56">
                  <c:v>0.58831835830597756</c:v>
                </c:pt>
                <c:pt idx="57">
                  <c:v>0.59796292155689523</c:v>
                </c:pt>
              </c:numCache>
            </c:numRef>
          </c:xVal>
          <c:yVal>
            <c:numRef>
              <c:f>'HW#11 Calculations'!$AE$8:$AE$65</c:f>
              <c:numCache>
                <c:formatCode>General</c:formatCode>
                <c:ptCount val="58"/>
                <c:pt idx="0">
                  <c:v>-2442.8018568272491</c:v>
                </c:pt>
                <c:pt idx="1">
                  <c:v>-1907.6942562624497</c:v>
                </c:pt>
                <c:pt idx="2">
                  <c:v>-1506.9529764064036</c:v>
                </c:pt>
                <c:pt idx="3">
                  <c:v>-1190.8129593528267</c:v>
                </c:pt>
                <c:pt idx="4">
                  <c:v>-931.71205325422477</c:v>
                </c:pt>
                <c:pt idx="5">
                  <c:v>-713.18955929250308</c:v>
                </c:pt>
                <c:pt idx="6">
                  <c:v>-524.84011666560014</c:v>
                </c:pt>
                <c:pt idx="7">
                  <c:v>-359.7906450808091</c:v>
                </c:pt>
                <c:pt idx="8">
                  <c:v>-213.34177532810008</c:v>
                </c:pt>
                <c:pt idx="9">
                  <c:v>-82.191523893453081</c:v>
                </c:pt>
                <c:pt idx="10">
                  <c:v>36.030502273147533</c:v>
                </c:pt>
                <c:pt idx="11">
                  <c:v>143.05422777771341</c:v>
                </c:pt>
                <c:pt idx="12">
                  <c:v>240.1574818540185</c:v>
                </c:pt>
                <c:pt idx="13">
                  <c:v>328.29158041144308</c:v>
                </c:pt>
                <c:pt idx="14">
                  <c:v>408.1672505940237</c:v>
                </c:pt>
                <c:pt idx="15">
                  <c:v>480.31477797179014</c:v>
                </c:pt>
                <c:pt idx="16">
                  <c:v>545.12696882029059</c:v>
                </c:pt>
                <c:pt idx="17">
                  <c:v>602.89039541479167</c:v>
                </c:pt>
                <c:pt idx="18">
                  <c:v>653.8084903781662</c:v>
                </c:pt>
                <c:pt idx="19">
                  <c:v>698.01886744180797</c:v>
                </c:pt>
                <c:pt idx="20">
                  <c:v>735.6064852239283</c:v>
                </c:pt>
                <c:pt idx="21">
                  <c:v>766.61377321285954</c:v>
                </c:pt>
                <c:pt idx="22">
                  <c:v>791.04850753184837</c:v>
                </c:pt>
                <c:pt idx="23">
                  <c:v>808.88999903996353</c:v>
                </c:pt>
                <c:pt idx="24">
                  <c:v>820.09400113626361</c:v>
                </c:pt>
                <c:pt idx="25">
                  <c:v>824.59663600313343</c:v>
                </c:pt>
                <c:pt idx="26">
                  <c:v>822.31756093155377</c:v>
                </c:pt>
                <c:pt idx="27">
                  <c:v>813.16254096038222</c:v>
                </c:pt>
                <c:pt idx="28">
                  <c:v>797.0255537630394</c:v>
                </c:pt>
                <c:pt idx="29">
                  <c:v>773.79052308360315</c:v>
                </c:pt>
                <c:pt idx="30">
                  <c:v>743.33275501242622</c:v>
                </c:pt>
                <c:pt idx="31">
                  <c:v>705.52013488249167</c:v>
                </c:pt>
                <c:pt idx="32">
                  <c:v>660.21413007445835</c:v>
                </c:pt>
                <c:pt idx="33">
                  <c:v>607.27063448407387</c:v>
                </c:pt>
                <c:pt idx="34">
                  <c:v>546.54068307152227</c:v>
                </c:pt>
                <c:pt idx="35">
                  <c:v>477.87105922837026</c:v>
                </c:pt>
                <c:pt idx="36">
                  <c:v>401.10481326154149</c:v>
                </c:pt>
                <c:pt idx="37">
                  <c:v>316.08170680816124</c:v>
                </c:pt>
                <c:pt idx="38">
                  <c:v>222.63859523901348</c:v>
                </c:pt>
                <c:pt idx="39">
                  <c:v>120.60975791608666</c:v>
                </c:pt>
                <c:pt idx="40">
                  <c:v>9.8271844157689259</c:v>
                </c:pt>
                <c:pt idx="41">
                  <c:v>-109.87917658141035</c:v>
                </c:pt>
                <c:pt idx="42">
                  <c:v>-238.68120017420145</c:v>
                </c:pt>
                <c:pt idx="43">
                  <c:v>-376.75239526362657</c:v>
                </c:pt>
                <c:pt idx="44">
                  <c:v>-524.2677378384584</c:v>
                </c:pt>
                <c:pt idx="45">
                  <c:v>-681.40352426644984</c:v>
                </c:pt>
                <c:pt idx="46">
                  <c:v>-848.33724184541177</c:v>
                </c:pt>
                <c:pt idx="47">
                  <c:v>-1025.2474542907084</c:v>
                </c:pt>
                <c:pt idx="48">
                  <c:v>-1212.3137001864297</c:v>
                </c:pt>
                <c:pt idx="49">
                  <c:v>-1409.7164027197723</c:v>
                </c:pt>
                <c:pt idx="50">
                  <c:v>-1617.6367892625697</c:v>
                </c:pt>
                <c:pt idx="51">
                  <c:v>-1836.2568195691001</c:v>
                </c:pt>
                <c:pt idx="52">
                  <c:v>-2065.759121532004</c:v>
                </c:pt>
                <c:pt idx="53">
                  <c:v>-2306.3269335841555</c:v>
                </c:pt>
                <c:pt idx="54">
                  <c:v>-2558.1440529579645</c:v>
                </c:pt>
                <c:pt idx="55">
                  <c:v>-2821.3947891187422</c:v>
                </c:pt>
                <c:pt idx="56">
                  <c:v>-3096.2639217784067</c:v>
                </c:pt>
                <c:pt idx="57">
                  <c:v>-3382.9366629723618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DA-404C-817D-48C56B9FFA9B}"/>
            </c:ext>
          </c:extLst>
        </c:ser>
        <c:ser>
          <c:idx val="2"/>
          <c:order val="2"/>
          <c:tx>
            <c:v>SL Max R/C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'HW#11 Calculations'!$D$8</c:f>
              <c:numCache>
                <c:formatCode>0.0000</c:formatCode>
                <c:ptCount val="1"/>
                <c:pt idx="0">
                  <c:v>0.25353050494098783</c:v>
                </c:pt>
              </c:numCache>
            </c:numRef>
          </c:xVal>
          <c:yVal>
            <c:numRef>
              <c:f>'HW#11 Calculations'!$D$6</c:f>
              <c:numCache>
                <c:formatCode>0.0</c:formatCode>
                <c:ptCount val="1"/>
                <c:pt idx="0">
                  <c:v>2190.1336406350474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8DA-404C-817D-48C56B9FFA9B}"/>
            </c:ext>
          </c:extLst>
        </c:ser>
        <c:ser>
          <c:idx val="3"/>
          <c:order val="3"/>
          <c:tx>
            <c:v>20k Max R/C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'HW#11 Calculations'!$E$8</c:f>
              <c:numCache>
                <c:formatCode>0.0000</c:formatCode>
                <c:ptCount val="1"/>
                <c:pt idx="0">
                  <c:v>0.29093734376585989</c:v>
                </c:pt>
              </c:numCache>
            </c:numRef>
          </c:xVal>
          <c:yVal>
            <c:numRef>
              <c:f>'HW#11 Calculations'!$E$6</c:f>
              <c:numCache>
                <c:formatCode>0.0</c:formatCode>
                <c:ptCount val="1"/>
                <c:pt idx="0">
                  <c:v>824.69012933719421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8DA-404C-817D-48C56B9FF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046223"/>
        <c:axId val="909044143"/>
      </c:scatterChart>
      <c:valAx>
        <c:axId val="909046223"/>
        <c:scaling>
          <c:orientation val="minMax"/>
          <c:max val="0.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044143"/>
        <c:crosses val="autoZero"/>
        <c:crossBetween val="midCat"/>
      </c:valAx>
      <c:valAx>
        <c:axId val="90904414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Climb Rate (ft/min)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0462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Descend Rate vs</a:t>
            </a:r>
            <a:r>
              <a:rPr lang="en-US" baseline="0"/>
              <a:t> Mach Number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Sea Level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'HW#11 Calculations'!$M$8:$M$65</c:f>
              <c:numCache>
                <c:formatCode>General</c:formatCode>
                <c:ptCount val="58"/>
                <c:pt idx="0">
                  <c:v>4.4784808992789644E-2</c:v>
                </c:pt>
                <c:pt idx="1">
                  <c:v>5.3741770791347572E-2</c:v>
                </c:pt>
                <c:pt idx="2">
                  <c:v>6.2698732589905506E-2</c:v>
                </c:pt>
                <c:pt idx="3">
                  <c:v>7.1655694388463434E-2</c:v>
                </c:pt>
                <c:pt idx="4">
                  <c:v>8.0612656187021361E-2</c:v>
                </c:pt>
                <c:pt idx="5">
                  <c:v>8.9569617985579289E-2</c:v>
                </c:pt>
                <c:pt idx="6">
                  <c:v>9.8526579784137217E-2</c:v>
                </c:pt>
                <c:pt idx="7">
                  <c:v>0.10748354158269514</c:v>
                </c:pt>
                <c:pt idx="8">
                  <c:v>0.11644050338125307</c:v>
                </c:pt>
                <c:pt idx="9">
                  <c:v>0.12539746517981101</c:v>
                </c:pt>
                <c:pt idx="10">
                  <c:v>0.13435442697836894</c:v>
                </c:pt>
                <c:pt idx="11">
                  <c:v>0.14331138877692687</c:v>
                </c:pt>
                <c:pt idx="12">
                  <c:v>0.1522683505754848</c:v>
                </c:pt>
                <c:pt idx="13">
                  <c:v>0.16122531237404272</c:v>
                </c:pt>
                <c:pt idx="14">
                  <c:v>0.17018227417260065</c:v>
                </c:pt>
                <c:pt idx="15">
                  <c:v>0.17913923597115858</c:v>
                </c:pt>
                <c:pt idx="16">
                  <c:v>0.18809619776971651</c:v>
                </c:pt>
                <c:pt idx="17">
                  <c:v>0.19705315956827443</c:v>
                </c:pt>
                <c:pt idx="18">
                  <c:v>0.20601012136683236</c:v>
                </c:pt>
                <c:pt idx="19">
                  <c:v>0.21496708316539029</c:v>
                </c:pt>
                <c:pt idx="20">
                  <c:v>0.22392404496394822</c:v>
                </c:pt>
                <c:pt idx="21">
                  <c:v>0.23288100676250614</c:v>
                </c:pt>
                <c:pt idx="22">
                  <c:v>0.24183796856106407</c:v>
                </c:pt>
                <c:pt idx="23">
                  <c:v>0.25079493035962203</c:v>
                </c:pt>
                <c:pt idx="24">
                  <c:v>0.25975189215817995</c:v>
                </c:pt>
                <c:pt idx="25">
                  <c:v>0.26870885395673788</c:v>
                </c:pt>
                <c:pt idx="26">
                  <c:v>0.27766581575529581</c:v>
                </c:pt>
                <c:pt idx="27">
                  <c:v>0.28662277755385374</c:v>
                </c:pt>
                <c:pt idx="28">
                  <c:v>0.29557973935241166</c:v>
                </c:pt>
                <c:pt idx="29">
                  <c:v>0.30453670115096959</c:v>
                </c:pt>
                <c:pt idx="30">
                  <c:v>0.31349366294952752</c:v>
                </c:pt>
                <c:pt idx="31">
                  <c:v>0.32245062474808545</c:v>
                </c:pt>
                <c:pt idx="32">
                  <c:v>0.33140758654664337</c:v>
                </c:pt>
                <c:pt idx="33">
                  <c:v>0.3403645483452013</c:v>
                </c:pt>
                <c:pt idx="34">
                  <c:v>0.34932151014375923</c:v>
                </c:pt>
                <c:pt idx="35">
                  <c:v>0.35827847194231716</c:v>
                </c:pt>
                <c:pt idx="36">
                  <c:v>0.36723543374087508</c:v>
                </c:pt>
                <c:pt idx="37">
                  <c:v>0.37619239553943301</c:v>
                </c:pt>
                <c:pt idx="38">
                  <c:v>0.38514935733799094</c:v>
                </c:pt>
                <c:pt idx="39">
                  <c:v>0.39410631913654887</c:v>
                </c:pt>
                <c:pt idx="40">
                  <c:v>0.40306328093510679</c:v>
                </c:pt>
                <c:pt idx="41">
                  <c:v>0.41202024273366472</c:v>
                </c:pt>
                <c:pt idx="42">
                  <c:v>0.42097720453222265</c:v>
                </c:pt>
                <c:pt idx="43">
                  <c:v>0.42993416633078058</c:v>
                </c:pt>
                <c:pt idx="44">
                  <c:v>0.4388911281293385</c:v>
                </c:pt>
                <c:pt idx="45">
                  <c:v>0.44784808992789643</c:v>
                </c:pt>
                <c:pt idx="46">
                  <c:v>0.45680505172645436</c:v>
                </c:pt>
                <c:pt idx="47">
                  <c:v>0.46576201352501229</c:v>
                </c:pt>
                <c:pt idx="48">
                  <c:v>0.47471897532357021</c:v>
                </c:pt>
                <c:pt idx="49">
                  <c:v>0.48367593712212814</c:v>
                </c:pt>
                <c:pt idx="50">
                  <c:v>0.49263289892068607</c:v>
                </c:pt>
                <c:pt idx="51">
                  <c:v>0.50158986071924405</c:v>
                </c:pt>
                <c:pt idx="52">
                  <c:v>0.51054682251780192</c:v>
                </c:pt>
                <c:pt idx="53">
                  <c:v>0.51950378431635991</c:v>
                </c:pt>
                <c:pt idx="54">
                  <c:v>0.52846074611491778</c:v>
                </c:pt>
                <c:pt idx="55">
                  <c:v>0.53741770791347576</c:v>
                </c:pt>
                <c:pt idx="56">
                  <c:v>0.54637466971203363</c:v>
                </c:pt>
                <c:pt idx="57">
                  <c:v>0.55533163151059162</c:v>
                </c:pt>
              </c:numCache>
            </c:numRef>
          </c:xVal>
          <c:yVal>
            <c:numRef>
              <c:f>'HW#11 Calculations'!$V$8:$V$65</c:f>
              <c:numCache>
                <c:formatCode>General</c:formatCode>
                <c:ptCount val="58"/>
                <c:pt idx="0">
                  <c:v>1498.0366077549154</c:v>
                </c:pt>
                <c:pt idx="1">
                  <c:v>1255.062363011763</c:v>
                </c:pt>
                <c:pt idx="2">
                  <c:v>1085.2229683643682</c:v>
                </c:pt>
                <c:pt idx="3">
                  <c:v>962.2608538588222</c:v>
                </c:pt>
                <c:pt idx="4">
                  <c:v>871.74820696784172</c:v>
                </c:pt>
                <c:pt idx="5">
                  <c:v>805.17209387745754</c:v>
                </c:pt>
                <c:pt idx="6">
                  <c:v>757.24587825368883</c:v>
                </c:pt>
                <c:pt idx="7">
                  <c:v>724.5649306258814</c:v>
                </c:pt>
                <c:pt idx="8">
                  <c:v>704.88277959312143</c:v>
                </c:pt>
                <c:pt idx="9">
                  <c:v>696.69748394218414</c:v>
                </c:pt>
                <c:pt idx="10">
                  <c:v>699.00345591830512</c:v>
                </c:pt>
                <c:pt idx="11">
                  <c:v>711.13635076941114</c:v>
                </c:pt>
                <c:pt idx="12">
                  <c:v>732.67270115709243</c:v>
                </c:pt>
                <c:pt idx="13">
                  <c:v>763.36300676392079</c:v>
                </c:pt>
                <c:pt idx="14">
                  <c:v>803.08595349845143</c:v>
                </c:pt>
                <c:pt idx="15">
                  <c:v>851.81636693872872</c:v>
                </c:pt>
                <c:pt idx="16">
                  <c:v>909.6023219347893</c:v>
                </c:pt>
                <c:pt idx="17">
                  <c:v>976.54849504684432</c:v>
                </c:pt>
                <c:pt idx="18">
                  <c:v>1052.8038598256771</c:v>
                </c:pt>
                <c:pt idx="19">
                  <c:v>1138.5524582729411</c:v>
                </c:pt>
                <c:pt idx="20">
                  <c:v>1234.0063871509831</c:v>
                </c:pt>
                <c:pt idx="21">
                  <c:v>1339.4004028365603</c:v>
                </c:pt>
                <c:pt idx="22">
                  <c:v>1454.9877250959466</c:v>
                </c:pt>
                <c:pt idx="23">
                  <c:v>1581.0367400510922</c:v>
                </c:pt>
                <c:pt idx="24">
                  <c:v>1717.8283852907095</c:v>
                </c:pt>
                <c:pt idx="25">
                  <c:v>1865.6540579591522</c:v>
                </c:pt>
                <c:pt idx="26">
                  <c:v>2024.8139277313085</c:v>
                </c:pt>
                <c:pt idx="27">
                  <c:v>2195.6155661047051</c:v>
                </c:pt>
                <c:pt idx="28">
                  <c:v>2378.3728249112301</c:v>
                </c:pt>
                <c:pt idx="29">
                  <c:v>2573.404912738546</c:v>
                </c:pt>
                <c:pt idx="30">
                  <c:v>2781.0356296792743</c:v>
                </c:pt>
                <c:pt idx="31">
                  <c:v>3001.5927296219597</c:v>
                </c:pt>
                <c:pt idx="32">
                  <c:v>3235.4073859543396</c:v>
                </c:pt>
                <c:pt idx="33">
                  <c:v>3482.8137416292257</c:v>
                </c:pt>
                <c:pt idx="34">
                  <c:v>3744.1485284510413</c:v>
                </c:pt>
                <c:pt idx="35">
                  <c:v>4019.7507434693648</c:v>
                </c:pt>
                <c:pt idx="36">
                  <c:v>4309.9613727295264</c:v>
                </c:pt>
                <c:pt idx="37">
                  <c:v>4615.1231544873945</c:v>
                </c:pt>
                <c:pt idx="38">
                  <c:v>4935.5803754639674</c:v>
                </c:pt>
                <c:pt idx="39">
                  <c:v>5271.6786948834215</c:v>
                </c:pt>
                <c:pt idx="40">
                  <c:v>5623.7649919727701</c:v>
                </c:pt>
                <c:pt idx="41">
                  <c:v>5992.1872333528372</c:v>
                </c:pt>
                <c:pt idx="42">
                  <c:v>6377.2943573580969</c:v>
                </c:pt>
                <c:pt idx="43">
                  <c:v>6779.4361728164695</c:v>
                </c:pt>
                <c:pt idx="44">
                  <c:v>7198.9632702234812</c:v>
                </c:pt>
                <c:pt idx="45">
                  <c:v>7636.2269435754897</c:v>
                </c:pt>
                <c:pt idx="46">
                  <c:v>8091.5791213990306</c:v>
                </c:pt>
                <c:pt idx="47">
                  <c:v>8565.3723057382776</c:v>
                </c:pt>
                <c:pt idx="48">
                  <c:v>9057.9595180496308</c:v>
                </c:pt>
                <c:pt idx="49">
                  <c:v>9569.6942511079724</c:v>
                </c:pt>
                <c:pt idx="50">
                  <c:v>10100.930426159533</c:v>
                </c:pt>
                <c:pt idx="51">
                  <c:v>10652.022354665545</c:v>
                </c:pt>
                <c:pt idx="52">
                  <c:v>11223.324704072817</c:v>
                </c:pt>
                <c:pt idx="53">
                  <c:v>11815.192467125356</c:v>
                </c:pt>
                <c:pt idx="54">
                  <c:v>12427.980934296787</c:v>
                </c:pt>
                <c:pt idx="55">
                  <c:v>13062.045668979574</c:v>
                </c:pt>
                <c:pt idx="56">
                  <c:v>13717.742485114602</c:v>
                </c:pt>
                <c:pt idx="57">
                  <c:v>14395.42742698566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52-4A69-B3AA-842D4FC337E3}"/>
            </c:ext>
          </c:extLst>
        </c:ser>
        <c:ser>
          <c:idx val="1"/>
          <c:order val="1"/>
          <c:tx>
            <c:v>20,000 ft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'HW#11 Calculations'!$Y$8:$Y$65</c:f>
              <c:numCache>
                <c:formatCode>General</c:formatCode>
                <c:ptCount val="58"/>
                <c:pt idx="0">
                  <c:v>4.8222816254588324E-2</c:v>
                </c:pt>
                <c:pt idx="1">
                  <c:v>5.7867379505505988E-2</c:v>
                </c:pt>
                <c:pt idx="2">
                  <c:v>6.7511942756423651E-2</c:v>
                </c:pt>
                <c:pt idx="3">
                  <c:v>7.7156506007341322E-2</c:v>
                </c:pt>
                <c:pt idx="4">
                  <c:v>8.6801069258258978E-2</c:v>
                </c:pt>
                <c:pt idx="5">
                  <c:v>9.6445632509176649E-2</c:v>
                </c:pt>
                <c:pt idx="6">
                  <c:v>0.10609019576009431</c:v>
                </c:pt>
                <c:pt idx="7">
                  <c:v>0.11573475901101198</c:v>
                </c:pt>
                <c:pt idx="8">
                  <c:v>0.12537932226192963</c:v>
                </c:pt>
                <c:pt idx="9">
                  <c:v>0.1350238855128473</c:v>
                </c:pt>
                <c:pt idx="10">
                  <c:v>0.14466844876376497</c:v>
                </c:pt>
                <c:pt idx="11">
                  <c:v>0.15431301201468264</c:v>
                </c:pt>
                <c:pt idx="12">
                  <c:v>0.16395757526560029</c:v>
                </c:pt>
                <c:pt idx="13">
                  <c:v>0.17360213851651796</c:v>
                </c:pt>
                <c:pt idx="14">
                  <c:v>0.18324670176743563</c:v>
                </c:pt>
                <c:pt idx="15">
                  <c:v>0.1928912650183533</c:v>
                </c:pt>
                <c:pt idx="16">
                  <c:v>0.20253582826927094</c:v>
                </c:pt>
                <c:pt idx="17">
                  <c:v>0.21218039152018861</c:v>
                </c:pt>
                <c:pt idx="18">
                  <c:v>0.22182495477110628</c:v>
                </c:pt>
                <c:pt idx="19">
                  <c:v>0.23146951802202395</c:v>
                </c:pt>
                <c:pt idx="20">
                  <c:v>0.24111408127294162</c:v>
                </c:pt>
                <c:pt idx="21">
                  <c:v>0.25075864452385926</c:v>
                </c:pt>
                <c:pt idx="22">
                  <c:v>0.26040320777477693</c:v>
                </c:pt>
                <c:pt idx="23">
                  <c:v>0.27004777102569461</c:v>
                </c:pt>
                <c:pt idx="24">
                  <c:v>0.27969233427661228</c:v>
                </c:pt>
                <c:pt idx="25">
                  <c:v>0.28933689752752995</c:v>
                </c:pt>
                <c:pt idx="26">
                  <c:v>0.29898146077844762</c:v>
                </c:pt>
                <c:pt idx="27">
                  <c:v>0.30862602402936529</c:v>
                </c:pt>
                <c:pt idx="28">
                  <c:v>0.3182705872802829</c:v>
                </c:pt>
                <c:pt idx="29">
                  <c:v>0.32791515053120057</c:v>
                </c:pt>
                <c:pt idx="30">
                  <c:v>0.33755971378211824</c:v>
                </c:pt>
                <c:pt idx="31">
                  <c:v>0.34720427703303591</c:v>
                </c:pt>
                <c:pt idx="32">
                  <c:v>0.35684884028395358</c:v>
                </c:pt>
                <c:pt idx="33">
                  <c:v>0.36649340353487125</c:v>
                </c:pt>
                <c:pt idx="34">
                  <c:v>0.37613796678578892</c:v>
                </c:pt>
                <c:pt idx="35">
                  <c:v>0.38578253003670659</c:v>
                </c:pt>
                <c:pt idx="36">
                  <c:v>0.39542709328762427</c:v>
                </c:pt>
                <c:pt idx="37">
                  <c:v>0.40507165653854188</c:v>
                </c:pt>
                <c:pt idx="38">
                  <c:v>0.41471621978945955</c:v>
                </c:pt>
                <c:pt idx="39">
                  <c:v>0.42436078304037722</c:v>
                </c:pt>
                <c:pt idx="40">
                  <c:v>0.43400534629129489</c:v>
                </c:pt>
                <c:pt idx="41">
                  <c:v>0.44364990954221256</c:v>
                </c:pt>
                <c:pt idx="42">
                  <c:v>0.45329447279313023</c:v>
                </c:pt>
                <c:pt idx="43">
                  <c:v>0.4629390360440479</c:v>
                </c:pt>
                <c:pt idx="44">
                  <c:v>0.47258359929496557</c:v>
                </c:pt>
                <c:pt idx="45">
                  <c:v>0.48222816254588324</c:v>
                </c:pt>
                <c:pt idx="46">
                  <c:v>0.49187272579680086</c:v>
                </c:pt>
                <c:pt idx="47">
                  <c:v>0.50151728904771853</c:v>
                </c:pt>
                <c:pt idx="48">
                  <c:v>0.5111618522986362</c:v>
                </c:pt>
                <c:pt idx="49">
                  <c:v>0.52080641554955387</c:v>
                </c:pt>
                <c:pt idx="50">
                  <c:v>0.53045097880047154</c:v>
                </c:pt>
                <c:pt idx="51">
                  <c:v>0.54009554205138921</c:v>
                </c:pt>
                <c:pt idx="52">
                  <c:v>0.54974010530230688</c:v>
                </c:pt>
                <c:pt idx="53">
                  <c:v>0.55938466855322455</c:v>
                </c:pt>
                <c:pt idx="54">
                  <c:v>0.56902923180414222</c:v>
                </c:pt>
                <c:pt idx="55">
                  <c:v>0.57867379505505989</c:v>
                </c:pt>
                <c:pt idx="56">
                  <c:v>0.58831835830597756</c:v>
                </c:pt>
                <c:pt idx="57">
                  <c:v>0.59796292155689523</c:v>
                </c:pt>
              </c:numCache>
            </c:numRef>
          </c:xVal>
          <c:yVal>
            <c:numRef>
              <c:f>'HW#11 Calculations'!$AH$8:$AH$65</c:f>
              <c:numCache>
                <c:formatCode>General</c:formatCode>
                <c:ptCount val="58"/>
                <c:pt idx="0">
                  <c:v>2801.5553451995738</c:v>
                </c:pt>
                <c:pt idx="1">
                  <c:v>2338.1984423092395</c:v>
                </c:pt>
                <c:pt idx="2">
                  <c:v>2009.2078601276594</c:v>
                </c:pt>
                <c:pt idx="3">
                  <c:v>1764.8185407485469</c:v>
                </c:pt>
                <c:pt idx="4">
                  <c:v>1577.4683323244105</c:v>
                </c:pt>
                <c:pt idx="5">
                  <c:v>1430.6965360371544</c:v>
                </c:pt>
                <c:pt idx="6">
                  <c:v>1314.0977910847164</c:v>
                </c:pt>
                <c:pt idx="7">
                  <c:v>1220.7990171743902</c:v>
                </c:pt>
                <c:pt idx="8">
                  <c:v>1146.1008450961465</c:v>
                </c:pt>
                <c:pt idx="9">
                  <c:v>1086.7012913359642</c:v>
                </c:pt>
                <c:pt idx="10">
                  <c:v>1040.2299628438288</c:v>
                </c:pt>
                <c:pt idx="11">
                  <c:v>1004.9569350137281</c:v>
                </c:pt>
                <c:pt idx="12">
                  <c:v>979.60437861188802</c:v>
                </c:pt>
                <c:pt idx="13">
                  <c:v>963.22097772892857</c:v>
                </c:pt>
                <c:pt idx="14">
                  <c:v>955.09600522081291</c:v>
                </c:pt>
                <c:pt idx="15">
                  <c:v>954.69917551751189</c:v>
                </c:pt>
                <c:pt idx="16">
                  <c:v>961.63768234347617</c:v>
                </c:pt>
                <c:pt idx="17">
                  <c:v>975.6249534234405</c:v>
                </c:pt>
                <c:pt idx="18">
                  <c:v>996.45755613453093</c:v>
                </c:pt>
                <c:pt idx="19">
                  <c:v>1023.9978767453546</c:v>
                </c:pt>
                <c:pt idx="20">
                  <c:v>1058.160956637699</c:v>
                </c:pt>
                <c:pt idx="21">
                  <c:v>1098.904366323233</c:v>
                </c:pt>
                <c:pt idx="22">
                  <c:v>1146.220329678709</c:v>
                </c:pt>
                <c:pt idx="23">
                  <c:v>1200.1295358450589</c:v>
                </c:pt>
                <c:pt idx="24">
                  <c:v>1260.6762314232242</c:v>
                </c:pt>
                <c:pt idx="25">
                  <c:v>1327.9242942308197</c:v>
                </c:pt>
                <c:pt idx="26">
                  <c:v>1401.9540669768642</c:v>
                </c:pt>
                <c:pt idx="27">
                  <c:v>1482.8597846225007</c:v>
                </c:pt>
                <c:pt idx="28">
                  <c:v>1570.7474694943082</c:v>
                </c:pt>
                <c:pt idx="29">
                  <c:v>1665.73319784821</c:v>
                </c:pt>
                <c:pt idx="30">
                  <c:v>1767.9416635938521</c:v>
                </c:pt>
                <c:pt idx="31">
                  <c:v>1877.5049813982516</c:v>
                </c:pt>
                <c:pt idx="32">
                  <c:v>1994.56168388075</c:v>
                </c:pt>
                <c:pt idx="33">
                  <c:v>2119.2558771455997</c:v>
                </c:pt>
                <c:pt idx="34">
                  <c:v>2251.7365262326166</c:v>
                </c:pt>
                <c:pt idx="35">
                  <c:v>2392.1568477502333</c:v>
                </c:pt>
                <c:pt idx="36">
                  <c:v>2540.6737913915272</c:v>
                </c:pt>
                <c:pt idx="37">
                  <c:v>2697.447595519373</c:v>
                </c:pt>
                <c:pt idx="38">
                  <c:v>2862.6414047629855</c:v>
                </c:pt>
                <c:pt idx="39">
                  <c:v>3036.4209397603772</c:v>
                </c:pt>
                <c:pt idx="40">
                  <c:v>3218.9542109351601</c:v>
                </c:pt>
                <c:pt idx="41">
                  <c:v>3410.411269606805</c:v>
                </c:pt>
                <c:pt idx="42">
                  <c:v>3610.963990874061</c:v>
                </c:pt>
                <c:pt idx="43">
                  <c:v>3820.785883637951</c:v>
                </c:pt>
                <c:pt idx="44">
                  <c:v>4040.0519238872484</c:v>
                </c:pt>
                <c:pt idx="45">
                  <c:v>4268.9384079897036</c:v>
                </c:pt>
                <c:pt idx="46">
                  <c:v>4507.6228232431322</c:v>
                </c:pt>
                <c:pt idx="47">
                  <c:v>4756.2837333628931</c:v>
                </c:pt>
                <c:pt idx="48">
                  <c:v>5015.1006769330788</c:v>
                </c:pt>
                <c:pt idx="49">
                  <c:v>5284.2540771408876</c:v>
                </c:pt>
                <c:pt idx="50">
                  <c:v>5563.9251613581491</c:v>
                </c:pt>
                <c:pt idx="51">
                  <c:v>5854.295889339146</c:v>
                </c:pt>
                <c:pt idx="52">
                  <c:v>6155.5488889765147</c:v>
                </c:pt>
                <c:pt idx="53">
                  <c:v>6467.8673987031307</c:v>
                </c:pt>
                <c:pt idx="54">
                  <c:v>6791.4352157514049</c:v>
                </c:pt>
                <c:pt idx="55">
                  <c:v>7126.436649586647</c:v>
                </c:pt>
                <c:pt idx="56">
                  <c:v>7473.0564799207796</c:v>
                </c:pt>
                <c:pt idx="57">
                  <c:v>7831.4799187891995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52-4A69-B3AA-842D4FC337E3}"/>
            </c:ext>
          </c:extLst>
        </c:ser>
        <c:ser>
          <c:idx val="2"/>
          <c:order val="2"/>
          <c:tx>
            <c:v>SL Min R/D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'HW#11 Calculations'!$D$15</c:f>
              <c:numCache>
                <c:formatCode>0.0000</c:formatCode>
                <c:ptCount val="1"/>
                <c:pt idx="0">
                  <c:v>0.12782257322935484</c:v>
                </c:pt>
              </c:numCache>
            </c:numRef>
          </c:xVal>
          <c:yVal>
            <c:numRef>
              <c:f>'HW#11 Calculations'!$D$13</c:f>
              <c:numCache>
                <c:formatCode>0.0</c:formatCode>
                <c:ptCount val="1"/>
                <c:pt idx="0">
                  <c:v>696.31907299937473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52-4A69-B3AA-842D4FC337E3}"/>
            </c:ext>
          </c:extLst>
        </c:ser>
        <c:ser>
          <c:idx val="3"/>
          <c:order val="3"/>
          <c:tx>
            <c:v>20k Min R/D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'HW#11 Calculations'!$E$15</c:f>
              <c:numCache>
                <c:formatCode>0.0000</c:formatCode>
                <c:ptCount val="1"/>
                <c:pt idx="0">
                  <c:v>0.18855861992668568</c:v>
                </c:pt>
              </c:numCache>
            </c:numRef>
          </c:xVal>
          <c:yVal>
            <c:numRef>
              <c:f>'HW#11 Calculations'!$E$13</c:f>
              <c:numCache>
                <c:formatCode>0.0</c:formatCode>
                <c:ptCount val="1"/>
                <c:pt idx="0">
                  <c:v>953.9492748410911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752-4A69-B3AA-842D4FC33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046223"/>
        <c:axId val="909044143"/>
      </c:scatterChart>
      <c:valAx>
        <c:axId val="909046223"/>
        <c:scaling>
          <c:orientation val="minMax"/>
          <c:max val="0.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044143"/>
        <c:crosses val="autoZero"/>
        <c:crossBetween val="midCat"/>
      </c:valAx>
      <c:valAx>
        <c:axId val="909044143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Desend Rate (ft/min)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0462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92074</xdr:colOff>
      <xdr:row>3</xdr:row>
      <xdr:rowOff>107950</xdr:rowOff>
    </xdr:from>
    <xdr:to>
      <xdr:col>17</xdr:col>
      <xdr:colOff>127000</xdr:colOff>
      <xdr:row>27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2A0E51-E671-0801-7107-FE93AE1A8C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590550</xdr:colOff>
      <xdr:row>2</xdr:row>
      <xdr:rowOff>165100</xdr:rowOff>
    </xdr:from>
    <xdr:to>
      <xdr:col>16</xdr:col>
      <xdr:colOff>15876</xdr:colOff>
      <xdr:row>27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92DAFC-770D-4B74-8E1E-8A428E66DF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9FFFB-0FCB-47C0-908C-350E590F1F42}">
  <sheetPr codeName="Sheet2">
    <pageSetUpPr fitToPage="1"/>
  </sheetPr>
  <dimension ref="A1:AH78"/>
  <sheetViews>
    <sheetView workbookViewId="0">
      <selection activeCell="H20" sqref="H20"/>
    </sheetView>
  </sheetViews>
  <sheetFormatPr defaultRowHeight="14.5" x14ac:dyDescent="0.35"/>
  <cols>
    <col min="1" max="1" width="14.7265625" customWidth="1"/>
    <col min="2" max="7" width="12.7265625" customWidth="1"/>
    <col min="8" max="15" width="10.7265625" customWidth="1"/>
    <col min="17" max="18" width="2" bestFit="1" customWidth="1"/>
    <col min="19" max="20" width="4.54296875" bestFit="1" customWidth="1"/>
    <col min="21" max="23" width="7.54296875" bestFit="1" customWidth="1"/>
    <col min="24" max="24" width="2" bestFit="1" customWidth="1"/>
    <col min="25" max="26" width="4.54296875" bestFit="1" customWidth="1"/>
    <col min="27" max="29" width="7.54296875" bestFit="1" customWidth="1"/>
    <col min="30" max="31" width="6.54296875" bestFit="1" customWidth="1"/>
    <col min="32" max="34" width="7.54296875" bestFit="1" customWidth="1"/>
    <col min="35" max="35" width="2.7265625" customWidth="1"/>
    <col min="36" max="37" width="2" bestFit="1" customWidth="1"/>
    <col min="38" max="39" width="4.54296875" bestFit="1" customWidth="1"/>
    <col min="40" max="42" width="5" bestFit="1" customWidth="1"/>
    <col min="43" max="43" width="2" bestFit="1" customWidth="1"/>
    <col min="44" max="45" width="4.54296875" bestFit="1" customWidth="1"/>
    <col min="46" max="48" width="5" bestFit="1" customWidth="1"/>
    <col min="49" max="50" width="6" bestFit="1" customWidth="1"/>
    <col min="51" max="53" width="5" bestFit="1" customWidth="1"/>
  </cols>
  <sheetData>
    <row r="1" spans="1:15" ht="16.5" customHeight="1" x14ac:dyDescent="0.35"/>
    <row r="3" spans="1:15" ht="18.5" x14ac:dyDescent="0.45">
      <c r="A3" s="12" t="s">
        <v>7</v>
      </c>
    </row>
    <row r="5" spans="1:15" ht="15.5" x14ac:dyDescent="0.35">
      <c r="A5" s="13" t="s">
        <v>8</v>
      </c>
      <c r="B5" s="13" t="s">
        <v>9</v>
      </c>
      <c r="C5" s="13" t="s">
        <v>10</v>
      </c>
      <c r="D5" s="13" t="s">
        <v>11</v>
      </c>
      <c r="E5" s="13" t="s">
        <v>12</v>
      </c>
      <c r="F5" s="13" t="s">
        <v>13</v>
      </c>
      <c r="G5" s="13" t="s">
        <v>14</v>
      </c>
      <c r="H5" s="13" t="s">
        <v>15</v>
      </c>
      <c r="I5" s="13" t="s">
        <v>16</v>
      </c>
      <c r="J5" s="13" t="s">
        <v>0</v>
      </c>
      <c r="K5" s="13" t="s">
        <v>17</v>
      </c>
      <c r="L5" s="13" t="s">
        <v>18</v>
      </c>
      <c r="M5" s="13" t="s">
        <v>19</v>
      </c>
      <c r="N5" s="13" t="s">
        <v>1</v>
      </c>
      <c r="O5" s="13" t="s">
        <v>20</v>
      </c>
    </row>
    <row r="6" spans="1:15" x14ac:dyDescent="0.35">
      <c r="A6" s="3" t="s">
        <v>3</v>
      </c>
      <c r="B6" s="3" t="s">
        <v>4</v>
      </c>
      <c r="C6" s="3" t="s">
        <v>4</v>
      </c>
      <c r="D6" s="3" t="s">
        <v>4</v>
      </c>
      <c r="E6" s="3" t="s">
        <v>6</v>
      </c>
      <c r="F6" s="3" t="s">
        <v>6</v>
      </c>
      <c r="G6" s="3" t="s">
        <v>5</v>
      </c>
      <c r="H6" s="3" t="s">
        <v>34</v>
      </c>
      <c r="I6" s="3" t="s">
        <v>6</v>
      </c>
      <c r="J6" s="3" t="s">
        <v>6</v>
      </c>
      <c r="K6" s="3" t="s">
        <v>4</v>
      </c>
      <c r="L6" s="3" t="s">
        <v>6</v>
      </c>
      <c r="M6" s="3" t="s">
        <v>5</v>
      </c>
      <c r="N6" s="3" t="s">
        <v>5</v>
      </c>
      <c r="O6" s="3" t="s">
        <v>34</v>
      </c>
    </row>
    <row r="8" spans="1:15" ht="15.5" x14ac:dyDescent="0.35">
      <c r="A8" s="14" t="s">
        <v>9</v>
      </c>
      <c r="B8" s="15" t="s">
        <v>21</v>
      </c>
      <c r="C8" s="15"/>
      <c r="D8" s="16"/>
      <c r="E8" s="16"/>
      <c r="F8" s="17"/>
      <c r="G8" s="18" t="s">
        <v>16</v>
      </c>
      <c r="H8" s="16" t="s">
        <v>22</v>
      </c>
    </row>
    <row r="9" spans="1:15" ht="15.5" x14ac:dyDescent="0.35">
      <c r="A9" s="14" t="s">
        <v>10</v>
      </c>
      <c r="B9" s="15" t="s">
        <v>23</v>
      </c>
      <c r="C9" s="15"/>
      <c r="D9" s="16"/>
      <c r="E9" s="16"/>
      <c r="F9" s="17"/>
      <c r="G9" s="18" t="s">
        <v>0</v>
      </c>
      <c r="H9" s="16" t="s">
        <v>24</v>
      </c>
    </row>
    <row r="10" spans="1:15" ht="15.5" x14ac:dyDescent="0.35">
      <c r="A10" s="14" t="s">
        <v>11</v>
      </c>
      <c r="B10" s="15" t="s">
        <v>25</v>
      </c>
      <c r="C10" s="15"/>
      <c r="D10" s="16"/>
      <c r="E10" s="16"/>
      <c r="F10" s="17"/>
      <c r="G10" s="18" t="s">
        <v>17</v>
      </c>
      <c r="H10" s="16" t="s">
        <v>35</v>
      </c>
    </row>
    <row r="11" spans="1:15" ht="15.5" x14ac:dyDescent="0.35">
      <c r="A11" s="14" t="s">
        <v>12</v>
      </c>
      <c r="B11" s="15" t="s">
        <v>26</v>
      </c>
      <c r="C11" s="15"/>
      <c r="D11" s="16"/>
      <c r="E11" s="16"/>
      <c r="F11" s="17"/>
      <c r="G11" s="18" t="s">
        <v>18</v>
      </c>
      <c r="H11" s="16" t="s">
        <v>27</v>
      </c>
    </row>
    <row r="12" spans="1:15" ht="15.5" x14ac:dyDescent="0.35">
      <c r="A12" s="14" t="s">
        <v>13</v>
      </c>
      <c r="B12" s="15" t="s">
        <v>28</v>
      </c>
      <c r="C12" s="15"/>
      <c r="D12" s="16"/>
      <c r="E12" s="16"/>
      <c r="F12" s="17"/>
      <c r="G12" s="18" t="s">
        <v>19</v>
      </c>
      <c r="H12" s="16" t="s">
        <v>29</v>
      </c>
    </row>
    <row r="13" spans="1:15" ht="15.5" x14ac:dyDescent="0.35">
      <c r="A13" s="14" t="s">
        <v>14</v>
      </c>
      <c r="B13" s="15" t="s">
        <v>30</v>
      </c>
      <c r="C13" s="15"/>
      <c r="D13" s="16"/>
      <c r="E13" s="16"/>
      <c r="F13" s="17"/>
      <c r="G13" s="18" t="s">
        <v>1</v>
      </c>
      <c r="H13" s="16" t="s">
        <v>31</v>
      </c>
    </row>
    <row r="14" spans="1:15" ht="15.5" x14ac:dyDescent="0.35">
      <c r="A14" s="14" t="s">
        <v>15</v>
      </c>
      <c r="B14" s="15" t="s">
        <v>32</v>
      </c>
      <c r="C14" s="15"/>
      <c r="D14" s="16"/>
      <c r="E14" s="16"/>
      <c r="F14" s="17"/>
      <c r="G14" s="18" t="s">
        <v>20</v>
      </c>
      <c r="H14" s="16" t="s">
        <v>33</v>
      </c>
    </row>
    <row r="18" spans="6:15" x14ac:dyDescent="0.35">
      <c r="F18" s="10"/>
      <c r="G18" s="11"/>
      <c r="H18" s="10"/>
    </row>
    <row r="19" spans="6:15" x14ac:dyDescent="0.35">
      <c r="F19" s="10"/>
      <c r="G19" s="11"/>
      <c r="H19" s="10"/>
    </row>
    <row r="20" spans="6:15" x14ac:dyDescent="0.35">
      <c r="F20" s="10"/>
      <c r="G20" s="11"/>
      <c r="H20" s="10"/>
    </row>
    <row r="25" spans="6:15" x14ac:dyDescent="0.35">
      <c r="G25" s="2"/>
      <c r="H25" s="2"/>
      <c r="I25" s="2"/>
      <c r="J25" s="2"/>
      <c r="K25" s="2"/>
      <c r="L25" s="2"/>
      <c r="M25" s="5"/>
      <c r="N25" s="5"/>
      <c r="O25" s="6"/>
    </row>
    <row r="45" spans="19:34" x14ac:dyDescent="0.35">
      <c r="S45" s="2"/>
      <c r="T45" s="2"/>
      <c r="U45" s="5"/>
      <c r="V45" s="5"/>
      <c r="W45" s="6"/>
      <c r="Y45" s="2"/>
      <c r="Z45" s="2"/>
      <c r="AA45" s="5"/>
      <c r="AB45" s="5"/>
      <c r="AC45" s="7"/>
      <c r="AD45" s="1"/>
      <c r="AE45" s="1"/>
      <c r="AF45" s="6"/>
      <c r="AG45" s="7"/>
      <c r="AH45" s="8"/>
    </row>
    <row r="46" spans="19:34" x14ac:dyDescent="0.35">
      <c r="S46" s="2"/>
      <c r="T46" s="2"/>
      <c r="U46" s="5"/>
      <c r="V46" s="5"/>
      <c r="W46" s="6"/>
      <c r="Y46" s="2"/>
      <c r="Z46" s="2"/>
      <c r="AA46" s="5"/>
      <c r="AB46" s="5"/>
      <c r="AC46" s="7"/>
      <c r="AD46" s="1"/>
      <c r="AE46" s="1"/>
      <c r="AF46" s="6"/>
      <c r="AG46" s="7"/>
      <c r="AH46" s="8"/>
    </row>
    <row r="47" spans="19:34" x14ac:dyDescent="0.35">
      <c r="S47" s="2"/>
      <c r="T47" s="2"/>
      <c r="U47" s="5"/>
      <c r="V47" s="5"/>
      <c r="W47" s="6"/>
      <c r="Y47" s="2"/>
      <c r="Z47" s="2"/>
      <c r="AA47" s="5"/>
      <c r="AB47" s="5"/>
      <c r="AC47" s="7"/>
      <c r="AD47" s="1"/>
      <c r="AE47" s="1"/>
      <c r="AF47" s="6"/>
      <c r="AG47" s="7"/>
      <c r="AH47" s="8"/>
    </row>
    <row r="48" spans="19:34" x14ac:dyDescent="0.35">
      <c r="S48" s="2"/>
      <c r="T48" s="2"/>
      <c r="U48" s="5"/>
      <c r="V48" s="5"/>
      <c r="W48" s="6"/>
      <c r="Y48" s="2"/>
      <c r="Z48" s="2"/>
      <c r="AA48" s="5"/>
      <c r="AB48" s="5"/>
      <c r="AC48" s="7"/>
      <c r="AD48" s="1"/>
      <c r="AE48" s="1"/>
      <c r="AF48" s="6"/>
      <c r="AG48" s="7"/>
      <c r="AH48" s="8"/>
    </row>
    <row r="49" spans="1:34" x14ac:dyDescent="0.35">
      <c r="S49" s="2"/>
      <c r="T49" s="2"/>
      <c r="U49" s="5"/>
      <c r="V49" s="5"/>
      <c r="W49" s="6"/>
      <c r="Y49" s="2"/>
      <c r="Z49" s="2"/>
      <c r="AA49" s="5"/>
      <c r="AB49" s="5"/>
      <c r="AC49" s="7"/>
      <c r="AD49" s="1"/>
      <c r="AE49" s="1"/>
      <c r="AF49" s="6"/>
      <c r="AG49" s="7"/>
      <c r="AH49" s="8"/>
    </row>
    <row r="50" spans="1:34" x14ac:dyDescent="0.35">
      <c r="S50" s="2"/>
      <c r="T50" s="2"/>
      <c r="U50" s="5"/>
      <c r="V50" s="5"/>
      <c r="W50" s="6"/>
      <c r="Y50" s="2"/>
      <c r="Z50" s="2"/>
      <c r="AA50" s="5"/>
      <c r="AB50" s="5"/>
      <c r="AC50" s="7"/>
      <c r="AD50" s="1"/>
      <c r="AE50" s="1"/>
      <c r="AF50" s="6"/>
      <c r="AG50" s="7"/>
      <c r="AH50" s="8"/>
    </row>
    <row r="51" spans="1:34" x14ac:dyDescent="0.35">
      <c r="S51" s="2"/>
      <c r="T51" s="2"/>
      <c r="U51" s="5"/>
      <c r="V51" s="5"/>
      <c r="W51" s="6"/>
      <c r="Y51" s="2"/>
      <c r="Z51" s="2"/>
      <c r="AA51" s="5"/>
      <c r="AB51" s="5"/>
      <c r="AC51" s="7"/>
      <c r="AD51" s="1"/>
      <c r="AE51" s="1"/>
      <c r="AF51" s="6"/>
      <c r="AG51" s="7"/>
      <c r="AH51" s="8"/>
    </row>
    <row r="52" spans="1:34" x14ac:dyDescent="0.35">
      <c r="S52" s="2"/>
      <c r="T52" s="2"/>
      <c r="U52" s="5"/>
      <c r="V52" s="5"/>
      <c r="W52" s="6"/>
      <c r="Y52" s="2"/>
      <c r="Z52" s="2"/>
      <c r="AA52" s="5"/>
      <c r="AB52" s="5"/>
      <c r="AC52" s="7"/>
      <c r="AD52" s="1"/>
      <c r="AE52" s="1"/>
      <c r="AF52" s="6"/>
      <c r="AG52" s="7"/>
      <c r="AH52" s="8"/>
    </row>
    <row r="53" spans="1:34" x14ac:dyDescent="0.35">
      <c r="S53" s="2"/>
      <c r="T53" s="2"/>
      <c r="U53" s="5"/>
      <c r="V53" s="5"/>
      <c r="W53" s="6"/>
      <c r="Y53" s="2"/>
      <c r="Z53" s="2"/>
      <c r="AA53" s="5"/>
      <c r="AB53" s="5"/>
      <c r="AC53" s="7"/>
      <c r="AD53" s="1"/>
      <c r="AE53" s="1"/>
      <c r="AF53" s="6"/>
      <c r="AG53" s="7"/>
      <c r="AH53" s="8"/>
    </row>
    <row r="54" spans="1:34" x14ac:dyDescent="0.35">
      <c r="L54" s="2"/>
      <c r="M54" s="2"/>
      <c r="N54" s="5"/>
      <c r="O54" s="5"/>
      <c r="P54" s="6"/>
      <c r="R54" s="2"/>
      <c r="S54" s="2"/>
      <c r="T54" s="5"/>
      <c r="U54" s="5"/>
      <c r="V54" s="7"/>
      <c r="W54" s="1"/>
      <c r="X54" s="1"/>
      <c r="Y54" s="6"/>
      <c r="Z54" s="7"/>
      <c r="AA54" s="8"/>
    </row>
    <row r="55" spans="1:34" x14ac:dyDescent="0.35">
      <c r="L55" s="2"/>
      <c r="M55" s="2"/>
      <c r="N55" s="5"/>
      <c r="O55" s="5"/>
      <c r="P55" s="6"/>
      <c r="R55" s="2"/>
      <c r="S55" s="2"/>
      <c r="T55" s="5"/>
      <c r="U55" s="5"/>
      <c r="V55" s="7"/>
      <c r="W55" s="1"/>
      <c r="X55" s="1"/>
      <c r="Y55" s="6"/>
      <c r="Z55" s="7"/>
      <c r="AA55" s="8"/>
    </row>
    <row r="57" spans="1:34" ht="18" customHeight="1" x14ac:dyDescent="0.35">
      <c r="B57" s="9"/>
    </row>
    <row r="58" spans="1:34" ht="18" customHeight="1" x14ac:dyDescent="0.35">
      <c r="A58" s="9"/>
      <c r="B58" s="9"/>
    </row>
    <row r="59" spans="1:34" ht="18" customHeight="1" x14ac:dyDescent="0.35">
      <c r="A59" s="9"/>
    </row>
    <row r="60" spans="1:34" ht="18" customHeight="1" x14ac:dyDescent="0.35">
      <c r="A60" s="9"/>
    </row>
    <row r="61" spans="1:34" ht="18" customHeight="1" x14ac:dyDescent="0.35"/>
    <row r="62" spans="1:34" ht="18" customHeight="1" x14ac:dyDescent="0.35">
      <c r="A62" s="3"/>
    </row>
    <row r="63" spans="1:34" ht="18" customHeight="1" x14ac:dyDescent="0.35">
      <c r="B63" s="4"/>
    </row>
    <row r="64" spans="1:34" ht="18" customHeight="1" x14ac:dyDescent="0.35">
      <c r="B64" s="4"/>
    </row>
    <row r="65" spans="1:1" ht="18" customHeight="1" x14ac:dyDescent="0.35"/>
    <row r="66" spans="1:1" ht="18" customHeight="1" x14ac:dyDescent="0.35"/>
    <row r="67" spans="1:1" ht="18" customHeight="1" x14ac:dyDescent="0.35">
      <c r="A67" s="3"/>
    </row>
    <row r="68" spans="1:1" ht="18" customHeight="1" x14ac:dyDescent="0.35"/>
    <row r="69" spans="1:1" ht="18" customHeight="1" x14ac:dyDescent="0.35"/>
    <row r="70" spans="1:1" ht="18" customHeight="1" x14ac:dyDescent="0.35"/>
    <row r="71" spans="1:1" ht="18" customHeight="1" x14ac:dyDescent="0.35"/>
    <row r="72" spans="1:1" ht="18" customHeight="1" x14ac:dyDescent="0.35"/>
    <row r="73" spans="1:1" ht="18" customHeight="1" x14ac:dyDescent="0.35"/>
    <row r="74" spans="1:1" ht="18" customHeight="1" x14ac:dyDescent="0.35"/>
    <row r="75" spans="1:1" ht="18" customHeight="1" x14ac:dyDescent="0.35"/>
    <row r="76" spans="1:1" ht="18" customHeight="1" x14ac:dyDescent="0.35"/>
    <row r="77" spans="1:1" ht="18" customHeight="1" x14ac:dyDescent="0.35"/>
    <row r="78" spans="1:1" ht="18" customHeight="1" x14ac:dyDescent="0.35"/>
  </sheetData>
  <printOptions horizontalCentered="1" verticalCentered="1" gridLines="1"/>
  <pageMargins left="0.2" right="0.2" top="0.5" bottom="0.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36A8C-D2EF-461B-A559-2E21A3BFE061}">
  <sheetPr codeName="Sheet5"/>
  <dimension ref="A1:V64"/>
  <sheetViews>
    <sheetView zoomScale="82" zoomScaleNormal="82" workbookViewId="0">
      <pane xSplit="1" ySplit="1" topLeftCell="E2" activePane="bottomRight" state="frozen"/>
      <selection pane="topRight" activeCell="B1" sqref="B1"/>
      <selection pane="bottomLeft" activeCell="A2" sqref="A2"/>
      <selection pane="bottomRight" activeCell="R23" sqref="R23"/>
    </sheetView>
  </sheetViews>
  <sheetFormatPr defaultRowHeight="14.5" x14ac:dyDescent="0.35"/>
  <cols>
    <col min="1" max="1" width="10.08984375" style="22" bestFit="1" customWidth="1"/>
    <col min="2" max="2" width="7.26953125" customWidth="1"/>
    <col min="3" max="3" width="9.1796875" customWidth="1"/>
    <col min="4" max="4" width="9" customWidth="1"/>
    <col min="8" max="8" width="12.453125" customWidth="1"/>
    <col min="11" max="11" width="12.36328125" bestFit="1" customWidth="1"/>
    <col min="12" max="12" width="10.36328125" bestFit="1" customWidth="1"/>
    <col min="15" max="15" width="12.36328125" customWidth="1"/>
    <col min="19" max="19" width="13" customWidth="1"/>
    <col min="20" max="20" width="14.26953125" customWidth="1"/>
    <col min="21" max="21" width="9.90625" customWidth="1"/>
    <col min="22" max="22" width="12.453125" customWidth="1"/>
  </cols>
  <sheetData>
    <row r="1" spans="1:22" s="19" customFormat="1" ht="15.5" x14ac:dyDescent="0.35">
      <c r="A1" s="20" t="s">
        <v>8</v>
      </c>
      <c r="B1" s="21" t="s">
        <v>9</v>
      </c>
      <c r="C1" s="21" t="s">
        <v>10</v>
      </c>
      <c r="D1" s="21" t="s">
        <v>11</v>
      </c>
      <c r="E1" s="21" t="s">
        <v>12</v>
      </c>
      <c r="F1" s="21" t="s">
        <v>13</v>
      </c>
      <c r="G1" s="21" t="s">
        <v>14</v>
      </c>
      <c r="H1" s="21" t="s">
        <v>15</v>
      </c>
      <c r="I1" s="21" t="s">
        <v>16</v>
      </c>
      <c r="J1" s="21" t="s">
        <v>0</v>
      </c>
      <c r="K1" s="21" t="s">
        <v>17</v>
      </c>
      <c r="L1" s="21" t="s">
        <v>18</v>
      </c>
      <c r="M1" s="21" t="s">
        <v>19</v>
      </c>
      <c r="N1" s="21" t="s">
        <v>1</v>
      </c>
      <c r="O1" s="21" t="s">
        <v>20</v>
      </c>
      <c r="R1" s="19" t="s">
        <v>40</v>
      </c>
      <c r="S1" s="19" t="s">
        <v>36</v>
      </c>
      <c r="T1" s="19" t="s">
        <v>37</v>
      </c>
      <c r="U1" s="19" t="s">
        <v>38</v>
      </c>
      <c r="V1" s="19" t="s">
        <v>39</v>
      </c>
    </row>
    <row r="2" spans="1:22" x14ac:dyDescent="0.35">
      <c r="A2" s="25">
        <v>0</v>
      </c>
      <c r="B2" s="23">
        <f>C2-459.67</f>
        <v>58.999999999999943</v>
      </c>
      <c r="C2" s="23">
        <f>$R$2 - 3.566*A2/1000</f>
        <v>518.66999999999996</v>
      </c>
      <c r="D2" s="23">
        <f>(5/9)*(B2-32)</f>
        <v>14.99999999999997</v>
      </c>
      <c r="E2" s="1">
        <f>C2/$R$2</f>
        <v>1</v>
      </c>
      <c r="F2" s="1">
        <f>POWER(E2,5.2562)</f>
        <v>1</v>
      </c>
      <c r="G2" s="2">
        <f>F2*$S$2</f>
        <v>2116.2199999999998</v>
      </c>
      <c r="H2" s="24">
        <f>I2*$T$2</f>
        <v>2.3768800000000001E-3</v>
      </c>
      <c r="I2" s="1">
        <f>F2/E2</f>
        <v>1</v>
      </c>
      <c r="J2" s="1">
        <f>SQRT(I2)</f>
        <v>1</v>
      </c>
      <c r="K2" s="23">
        <f>1481.4354*F2</f>
        <v>1481.4354000000001</v>
      </c>
      <c r="L2" s="1">
        <f>H2*$V$2</f>
        <v>7.6473852160991992E-2</v>
      </c>
      <c r="M2">
        <f>$U$2*SQRT(E2)</f>
        <v>1116.45</v>
      </c>
      <c r="N2" s="2">
        <f>3600*M2/6076.4</f>
        <v>661.44756763873352</v>
      </c>
      <c r="O2" s="24">
        <f>(0.226968*POWER(10,-7)*POWER(C2,1.5))/(H2*(C2+198.73))</f>
        <v>1.5722901569351864E-4</v>
      </c>
      <c r="R2">
        <v>518.66999999999996</v>
      </c>
      <c r="S2">
        <v>2116.2199999999998</v>
      </c>
      <c r="T2">
        <v>2.3768800000000001E-3</v>
      </c>
      <c r="U2">
        <v>1116.45</v>
      </c>
      <c r="V2">
        <v>32.174048399999997</v>
      </c>
    </row>
    <row r="3" spans="1:22" x14ac:dyDescent="0.35">
      <c r="A3" s="26">
        <v>1000</v>
      </c>
      <c r="B3" s="23">
        <f t="shared" ref="B3:B63" si="0">C3-459.67</f>
        <v>55.433999999999912</v>
      </c>
      <c r="C3" s="23">
        <f>$R$2 - 3.566*A3/1000</f>
        <v>515.10399999999993</v>
      </c>
      <c r="D3" s="23">
        <f t="shared" ref="D3:D63" si="1">(5/9)*(B3-32)</f>
        <v>13.01888888888884</v>
      </c>
      <c r="E3" s="1">
        <f>C3/$R$2</f>
        <v>0.9931247228488248</v>
      </c>
      <c r="F3" s="1">
        <f>POWER(E3,5.2562)</f>
        <v>0.96438698044801985</v>
      </c>
      <c r="G3" s="2">
        <f t="shared" ref="G3:G63" si="2">F3*$S$2</f>
        <v>2040.8550157637085</v>
      </c>
      <c r="H3" s="24">
        <f t="shared" ref="H3:H63" si="3">I3*$T$2</f>
        <v>2.3081009598793535E-3</v>
      </c>
      <c r="I3" s="1">
        <f>F3/E3</f>
        <v>0.97106330983446931</v>
      </c>
      <c r="J3" s="1">
        <f t="shared" ref="J3:J37" si="4">SQRT(I3)</f>
        <v>0.9854254461066394</v>
      </c>
      <c r="K3" s="23">
        <f t="shared" ref="K3:K63" si="5">1481.4354*F3</f>
        <v>1428.6770121348045</v>
      </c>
      <c r="L3" s="1">
        <f t="shared" ref="L3:L63" si="6">H3*$V$2</f>
        <v>7.4260951995244767E-2</v>
      </c>
      <c r="M3" s="2">
        <f>$U$2*SQRT(E3)</f>
        <v>1112.6054288919283</v>
      </c>
      <c r="N3" s="2">
        <f t="shared" ref="N3:N63" si="7">3600*M3/6076.4</f>
        <v>659.16982818954352</v>
      </c>
      <c r="O3" s="24">
        <f>(0.226968*POWER(10,-7)*POWER(C3,1.5))/(H3*(C3+198.73))</f>
        <v>1.6104786919317091E-4</v>
      </c>
    </row>
    <row r="4" spans="1:22" x14ac:dyDescent="0.35">
      <c r="A4" s="26">
        <v>2000</v>
      </c>
      <c r="B4" s="23">
        <f t="shared" si="0"/>
        <v>51.867999999999938</v>
      </c>
      <c r="C4" s="23">
        <f t="shared" ref="C4:C38" si="8">$R$2 - 3.566*A4/1000</f>
        <v>511.53799999999995</v>
      </c>
      <c r="D4" s="23">
        <f t="shared" si="1"/>
        <v>11.037777777777745</v>
      </c>
      <c r="E4" s="1">
        <f t="shared" ref="E4:E63" si="9">C4/$R$2</f>
        <v>0.98624944569764972</v>
      </c>
      <c r="F4" s="1">
        <f t="shared" ref="F4:F37" si="10">POWER(E4,5.2562)</f>
        <v>0.92980798538287401</v>
      </c>
      <c r="G4" s="2">
        <f t="shared" si="2"/>
        <v>1967.6782548269455</v>
      </c>
      <c r="H4" s="24">
        <f t="shared" si="3"/>
        <v>2.240855002695098E-3</v>
      </c>
      <c r="I4" s="1">
        <f t="shared" ref="I4:I63" si="11">F4/E4</f>
        <v>0.9427716177068669</v>
      </c>
      <c r="J4" s="1">
        <f t="shared" si="4"/>
        <v>0.97096427210627423</v>
      </c>
      <c r="K4" s="23">
        <f t="shared" si="5"/>
        <v>1377.4504647488723</v>
      </c>
      <c r="L4" s="1">
        <f t="shared" si="6"/>
        <v>7.2097377314094199E-2</v>
      </c>
      <c r="M4" s="2">
        <f t="shared" ref="M4:M63" si="12">$U$2*SQRT(E4)</f>
        <v>1108.7475268516198</v>
      </c>
      <c r="N4" s="2">
        <f t="shared" si="7"/>
        <v>656.88419074877095</v>
      </c>
      <c r="O4" s="24">
        <f t="shared" ref="O4:O63" si="13">(0.226968*POWER(10,-7)*POWER(C4,1.5))/(H4*(C4+198.73))</f>
        <v>1.6498538628572268E-4</v>
      </c>
    </row>
    <row r="5" spans="1:22" x14ac:dyDescent="0.35">
      <c r="A5" s="26">
        <v>3000</v>
      </c>
      <c r="B5" s="23">
        <f t="shared" si="0"/>
        <v>48.301999999999964</v>
      </c>
      <c r="C5" s="23">
        <f t="shared" si="8"/>
        <v>507.97199999999998</v>
      </c>
      <c r="D5" s="23">
        <f t="shared" si="1"/>
        <v>9.0566666666666471</v>
      </c>
      <c r="E5" s="1">
        <f t="shared" si="9"/>
        <v>0.97937416854647463</v>
      </c>
      <c r="F5" s="1">
        <f t="shared" si="10"/>
        <v>0.89623988747953864</v>
      </c>
      <c r="G5" s="2">
        <f t="shared" si="2"/>
        <v>1896.6407746819491</v>
      </c>
      <c r="H5" s="24">
        <f t="shared" si="3"/>
        <v>2.1751182869300663E-3</v>
      </c>
      <c r="I5" s="1">
        <f t="shared" si="11"/>
        <v>0.91511489302365545</v>
      </c>
      <c r="J5" s="1">
        <f t="shared" si="4"/>
        <v>0.95661637714585224</v>
      </c>
      <c r="K5" s="23">
        <f t="shared" si="5"/>
        <v>1327.7214962042053</v>
      </c>
      <c r="L5" s="1">
        <f t="shared" si="6"/>
        <v>6.9982361039413035E-2</v>
      </c>
      <c r="M5" s="2">
        <f t="shared" si="12"/>
        <v>1104.8761542360191</v>
      </c>
      <c r="N5" s="2">
        <f t="shared" si="7"/>
        <v>654.59057258404141</v>
      </c>
      <c r="O5" s="24">
        <f t="shared" si="13"/>
        <v>1.6904607513595972E-4</v>
      </c>
    </row>
    <row r="6" spans="1:22" x14ac:dyDescent="0.35">
      <c r="A6" s="26">
        <v>4000</v>
      </c>
      <c r="B6" s="23">
        <f t="shared" si="0"/>
        <v>44.735999999999933</v>
      </c>
      <c r="C6" s="23">
        <f t="shared" si="8"/>
        <v>504.40599999999995</v>
      </c>
      <c r="D6" s="23">
        <f t="shared" si="1"/>
        <v>7.0755555555555185</v>
      </c>
      <c r="E6" s="1">
        <f t="shared" si="9"/>
        <v>0.97249889139529955</v>
      </c>
      <c r="F6" s="1">
        <f t="shared" si="10"/>
        <v>0.86365992031618855</v>
      </c>
      <c r="G6" s="2">
        <f t="shared" si="2"/>
        <v>1827.6943965715243</v>
      </c>
      <c r="H6" s="24">
        <f t="shared" si="3"/>
        <v>2.1108671789392482E-3</v>
      </c>
      <c r="I6" s="1">
        <f t="shared" si="11"/>
        <v>0.88808319264718794</v>
      </c>
      <c r="J6" s="1">
        <f t="shared" si="4"/>
        <v>0.94238165975744026</v>
      </c>
      <c r="K6" s="23">
        <f t="shared" si="5"/>
        <v>1279.4563795175809</v>
      </c>
      <c r="L6" s="1">
        <f t="shared" si="6"/>
        <v>6.7915142781162827E-2</v>
      </c>
      <c r="M6" s="2">
        <f t="shared" si="12"/>
        <v>1100.9911689469482</v>
      </c>
      <c r="N6" s="2">
        <f t="shared" si="7"/>
        <v>652.28888950842827</v>
      </c>
      <c r="O6" s="24">
        <f t="shared" si="13"/>
        <v>1.7323464696702602E-4</v>
      </c>
    </row>
    <row r="7" spans="1:22" x14ac:dyDescent="0.35">
      <c r="A7" s="26">
        <v>5000</v>
      </c>
      <c r="B7" s="23">
        <f t="shared" si="0"/>
        <v>41.169999999999959</v>
      </c>
      <c r="C7" s="23">
        <f t="shared" si="8"/>
        <v>500.84</v>
      </c>
      <c r="D7" s="23">
        <f t="shared" si="1"/>
        <v>5.0944444444444219</v>
      </c>
      <c r="E7" s="1">
        <f t="shared" si="9"/>
        <v>0.96562361424412446</v>
      </c>
      <c r="F7" s="1">
        <f t="shared" si="10"/>
        <v>0.8320456752165577</v>
      </c>
      <c r="G7" s="2">
        <f t="shared" si="2"/>
        <v>1760.7916988067836</v>
      </c>
      <c r="H7" s="24">
        <f t="shared" si="3"/>
        <v>2.0480782525775574E-3</v>
      </c>
      <c r="I7" s="1">
        <f t="shared" si="11"/>
        <v>0.86166666073910225</v>
      </c>
      <c r="J7" s="1">
        <f t="shared" si="4"/>
        <v>0.92826001785011847</v>
      </c>
      <c r="K7" s="23">
        <f t="shared" si="5"/>
        <v>1232.6219176827112</v>
      </c>
      <c r="L7" s="1">
        <f t="shared" si="6"/>
        <v>6.5894968825417746E-2</v>
      </c>
      <c r="M7" s="2">
        <f t="shared" si="12"/>
        <v>1097.0924263702484</v>
      </c>
      <c r="N7" s="2">
        <f t="shared" si="7"/>
        <v>649.97905584439707</v>
      </c>
      <c r="O7" s="24">
        <f t="shared" si="13"/>
        <v>1.7755602666546483E-4</v>
      </c>
    </row>
    <row r="8" spans="1:22" x14ac:dyDescent="0.35">
      <c r="A8" s="26">
        <v>6000</v>
      </c>
      <c r="B8" s="23">
        <f t="shared" si="0"/>
        <v>37.603999999999928</v>
      </c>
      <c r="C8" s="23">
        <f t="shared" si="8"/>
        <v>497.27399999999994</v>
      </c>
      <c r="D8" s="23">
        <f t="shared" si="1"/>
        <v>3.1133333333332938</v>
      </c>
      <c r="E8" s="1">
        <f t="shared" si="9"/>
        <v>0.95874833709294927</v>
      </c>
      <c r="F8" s="1">
        <f t="shared" si="10"/>
        <v>0.80137509809797391</v>
      </c>
      <c r="G8" s="2">
        <f t="shared" si="2"/>
        <v>1695.8860100968941</v>
      </c>
      <c r="H8" s="24">
        <f t="shared" si="3"/>
        <v>1.9867282888256497E-3</v>
      </c>
      <c r="I8" s="1">
        <f t="shared" si="11"/>
        <v>0.83585552860289525</v>
      </c>
      <c r="J8" s="1">
        <f t="shared" si="4"/>
        <v>0.91425134870170977</v>
      </c>
      <c r="K8" s="23">
        <f t="shared" si="5"/>
        <v>1187.1854390008114</v>
      </c>
      <c r="L8" s="1">
        <f t="shared" si="6"/>
        <v>6.3921092122325621E-2</v>
      </c>
      <c r="M8" s="2">
        <f t="shared" si="12"/>
        <v>1093.1797793129685</v>
      </c>
      <c r="N8" s="2">
        <f t="shared" si="7"/>
        <v>647.66098438659185</v>
      </c>
      <c r="O8" s="24">
        <f t="shared" si="13"/>
        <v>1.8201536401772435E-4</v>
      </c>
    </row>
    <row r="9" spans="1:22" x14ac:dyDescent="0.35">
      <c r="A9" s="26">
        <v>7000</v>
      </c>
      <c r="B9" s="23">
        <f t="shared" si="0"/>
        <v>34.037999999999954</v>
      </c>
      <c r="C9" s="23">
        <f t="shared" si="8"/>
        <v>493.70799999999997</v>
      </c>
      <c r="D9" s="23">
        <f t="shared" si="1"/>
        <v>1.1322222222221967</v>
      </c>
      <c r="E9" s="1">
        <f t="shared" si="9"/>
        <v>0.95187305994177418</v>
      </c>
      <c r="F9" s="1">
        <f t="shared" si="10"/>
        <v>0.77162648632510011</v>
      </c>
      <c r="G9" s="2">
        <f t="shared" si="2"/>
        <v>1632.9314028909032</v>
      </c>
      <c r="H9" s="24">
        <f t="shared" si="3"/>
        <v>1.9267942754137755E-3</v>
      </c>
      <c r="I9" s="1">
        <f t="shared" si="11"/>
        <v>0.81064011452567042</v>
      </c>
      <c r="J9" s="1">
        <f t="shared" si="4"/>
        <v>0.90035554895034131</v>
      </c>
      <c r="K9" s="23">
        <f t="shared" si="5"/>
        <v>1143.1147924196193</v>
      </c>
      <c r="L9" s="1">
        <f t="shared" si="6"/>
        <v>6.1992772274005736E-2</v>
      </c>
      <c r="M9" s="2">
        <f t="shared" si="12"/>
        <v>1089.2530779385215</v>
      </c>
      <c r="N9" s="2">
        <f t="shared" si="7"/>
        <v>645.33458636341868</v>
      </c>
      <c r="O9" s="24">
        <f t="shared" si="13"/>
        <v>1.8661804562043285E-4</v>
      </c>
    </row>
    <row r="10" spans="1:22" x14ac:dyDescent="0.35">
      <c r="A10" s="26">
        <v>8000</v>
      </c>
      <c r="B10" s="23">
        <f t="shared" si="0"/>
        <v>30.471999999999923</v>
      </c>
      <c r="C10" s="23">
        <f t="shared" si="8"/>
        <v>490.14199999999994</v>
      </c>
      <c r="D10" s="23">
        <f t="shared" si="1"/>
        <v>-0.84888888888893166</v>
      </c>
      <c r="E10" s="1">
        <f t="shared" si="9"/>
        <v>0.94499778279059898</v>
      </c>
      <c r="F10" s="1">
        <f t="shared" si="10"/>
        <v>0.74277848556940373</v>
      </c>
      <c r="G10" s="2">
        <f t="shared" si="2"/>
        <v>1571.8826867316834</v>
      </c>
      <c r="H10" s="24">
        <f t="shared" si="3"/>
        <v>1.8682534064436197E-3</v>
      </c>
      <c r="I10" s="1">
        <f t="shared" si="11"/>
        <v>0.78601082361903829</v>
      </c>
      <c r="J10" s="1">
        <f t="shared" si="4"/>
        <v>0.88657251458582809</v>
      </c>
      <c r="K10" s="23">
        <f t="shared" si="5"/>
        <v>1100.3783428809038</v>
      </c>
      <c r="L10" s="1">
        <f t="shared" si="6"/>
        <v>6.0109275522381884E-2</v>
      </c>
      <c r="M10" s="2">
        <f t="shared" si="12"/>
        <v>1085.3121696997296</v>
      </c>
      <c r="N10" s="2">
        <f t="shared" si="7"/>
        <v>642.9997713973778</v>
      </c>
      <c r="O10" s="24">
        <f t="shared" si="13"/>
        <v>1.9136970750990075E-4</v>
      </c>
    </row>
    <row r="11" spans="1:22" x14ac:dyDescent="0.35">
      <c r="A11" s="26">
        <v>9000</v>
      </c>
      <c r="B11" s="23">
        <f t="shared" si="0"/>
        <v>26.905999999999949</v>
      </c>
      <c r="C11" s="23">
        <f t="shared" si="8"/>
        <v>486.57599999999996</v>
      </c>
      <c r="D11" s="23">
        <f t="shared" si="1"/>
        <v>-2.8300000000000285</v>
      </c>
      <c r="E11" s="1">
        <f t="shared" si="9"/>
        <v>0.9381225056394239</v>
      </c>
      <c r="F11" s="1">
        <f t="shared" si="10"/>
        <v>0.71481008667439916</v>
      </c>
      <c r="G11" s="2">
        <f t="shared" si="2"/>
        <v>1512.6954016220968</v>
      </c>
      <c r="H11" s="24">
        <f t="shared" si="3"/>
        <v>1.8110830820081394E-3</v>
      </c>
      <c r="I11" s="1">
        <f t="shared" si="11"/>
        <v>0.7619581476591748</v>
      </c>
      <c r="J11" s="1">
        <f t="shared" si="4"/>
        <v>0.87290214094088159</v>
      </c>
      <c r="K11" s="23">
        <f t="shared" si="5"/>
        <v>1058.9449666765233</v>
      </c>
      <c r="L11" s="1">
        <f t="shared" si="6"/>
        <v>5.8269874736951041E-2</v>
      </c>
      <c r="M11" s="2">
        <f t="shared" si="12"/>
        <v>1081.3568992696751</v>
      </c>
      <c r="N11" s="2">
        <f t="shared" si="7"/>
        <v>640.65644746409555</v>
      </c>
      <c r="O11" s="24">
        <f t="shared" si="13"/>
        <v>1.9627624855972155E-4</v>
      </c>
    </row>
    <row r="12" spans="1:22" x14ac:dyDescent="0.35">
      <c r="A12" s="26">
        <v>10000</v>
      </c>
      <c r="B12" s="23">
        <f t="shared" si="0"/>
        <v>23.339999999999975</v>
      </c>
      <c r="C12" s="23">
        <f t="shared" si="8"/>
        <v>483.01</v>
      </c>
      <c r="D12" s="23">
        <f t="shared" si="1"/>
        <v>-4.8111111111111251</v>
      </c>
      <c r="E12" s="1">
        <f t="shared" si="9"/>
        <v>0.93124722848824881</v>
      </c>
      <c r="F12" s="1">
        <f t="shared" si="10"/>
        <v>0.68770062252667719</v>
      </c>
      <c r="G12" s="2">
        <f t="shared" si="2"/>
        <v>1455.3258114034047</v>
      </c>
      <c r="H12" s="24">
        <f t="shared" si="3"/>
        <v>1.7552609078093325E-3</v>
      </c>
      <c r="I12" s="1">
        <f t="shared" si="11"/>
        <v>0.73847266492600905</v>
      </c>
      <c r="J12" s="1">
        <f t="shared" si="4"/>
        <v>0.85934432268213012</v>
      </c>
      <c r="K12" s="23">
        <f t="shared" si="5"/>
        <v>1018.7840468130571</v>
      </c>
      <c r="L12" s="1">
        <f t="shared" si="6"/>
        <v>5.6473849402485399E-2</v>
      </c>
      <c r="M12" s="2">
        <f t="shared" si="12"/>
        <v>1077.3871084702648</v>
      </c>
      <c r="N12" s="2">
        <f t="shared" si="7"/>
        <v>638.30452085000229</v>
      </c>
      <c r="O12" s="24">
        <f t="shared" si="13"/>
        <v>2.0134384469904898E-4</v>
      </c>
    </row>
    <row r="13" spans="1:22" x14ac:dyDescent="0.35">
      <c r="A13" s="26">
        <v>11000</v>
      </c>
      <c r="B13" s="23">
        <f t="shared" si="0"/>
        <v>19.773999999999944</v>
      </c>
      <c r="C13" s="23">
        <f t="shared" si="8"/>
        <v>479.44399999999996</v>
      </c>
      <c r="D13" s="23">
        <f t="shared" si="1"/>
        <v>-6.7922222222222537</v>
      </c>
      <c r="E13" s="1">
        <f t="shared" si="9"/>
        <v>0.92437195133707362</v>
      </c>
      <c r="F13" s="1">
        <f t="shared" si="10"/>
        <v>0.66142976493276806</v>
      </c>
      <c r="G13" s="2">
        <f t="shared" si="2"/>
        <v>1399.7308971460222</v>
      </c>
      <c r="H13" s="24">
        <f t="shared" si="3"/>
        <v>1.7007646947739493E-3</v>
      </c>
      <c r="I13" s="1">
        <f t="shared" si="11"/>
        <v>0.71554504004154573</v>
      </c>
      <c r="J13" s="1">
        <f t="shared" si="4"/>
        <v>0.84589895380095237</v>
      </c>
      <c r="K13" s="23">
        <f t="shared" si="5"/>
        <v>979.86546838508127</v>
      </c>
      <c r="L13" s="1">
        <f t="shared" si="6"/>
        <v>5.4720485606668264E-2</v>
      </c>
      <c r="M13" s="2">
        <f t="shared" si="12"/>
        <v>1073.4026361984163</v>
      </c>
      <c r="N13" s="2">
        <f t="shared" si="7"/>
        <v>635.94389610860037</v>
      </c>
      <c r="O13" s="24">
        <f t="shared" si="13"/>
        <v>2.0657896400812245E-4</v>
      </c>
    </row>
    <row r="14" spans="1:22" x14ac:dyDescent="0.35">
      <c r="A14" s="26">
        <v>12000</v>
      </c>
      <c r="B14" s="23">
        <f t="shared" si="0"/>
        <v>16.207999999999913</v>
      </c>
      <c r="C14" s="23">
        <f t="shared" si="8"/>
        <v>475.87799999999993</v>
      </c>
      <c r="D14" s="23">
        <f t="shared" si="1"/>
        <v>-8.7733333333333814</v>
      </c>
      <c r="E14" s="1">
        <f t="shared" si="9"/>
        <v>0.91749667418589853</v>
      </c>
      <c r="F14" s="1">
        <f t="shared" si="10"/>
        <v>0.63597752150186093</v>
      </c>
      <c r="G14" s="2">
        <f t="shared" si="2"/>
        <v>1345.8683505526681</v>
      </c>
      <c r="H14" s="24">
        <f t="shared" si="3"/>
        <v>1.6475724586670949E-3</v>
      </c>
      <c r="I14" s="1">
        <f t="shared" si="11"/>
        <v>0.69316602380729986</v>
      </c>
      <c r="J14" s="1">
        <f t="shared" si="4"/>
        <v>0.83256592760411463</v>
      </c>
      <c r="K14" s="23">
        <f t="shared" si="5"/>
        <v>942.15961395711804</v>
      </c>
      <c r="L14" s="1">
        <f t="shared" si="6"/>
        <v>5.3009076027662104E-2</v>
      </c>
      <c r="M14" s="2">
        <f t="shared" si="12"/>
        <v>1069.4033183497709</v>
      </c>
      <c r="N14" s="2">
        <f t="shared" si="7"/>
        <v>633.57447601526815</v>
      </c>
      <c r="O14" s="24">
        <f t="shared" si="13"/>
        <v>2.1198838275196289E-4</v>
      </c>
    </row>
    <row r="15" spans="1:22" x14ac:dyDescent="0.35">
      <c r="A15" s="26">
        <v>13000</v>
      </c>
      <c r="B15" s="23">
        <f t="shared" si="0"/>
        <v>12.641999999999939</v>
      </c>
      <c r="C15" s="23">
        <f t="shared" si="8"/>
        <v>472.31199999999995</v>
      </c>
      <c r="D15" s="23">
        <f t="shared" si="1"/>
        <v>-10.754444444444479</v>
      </c>
      <c r="E15" s="1">
        <f t="shared" si="9"/>
        <v>0.91062139703472345</v>
      </c>
      <c r="F15" s="1">
        <f t="shared" si="10"/>
        <v>0.61132423253441259</v>
      </c>
      <c r="G15" s="2">
        <f t="shared" si="2"/>
        <v>1293.6965673739744</v>
      </c>
      <c r="H15" s="24">
        <f t="shared" si="3"/>
        <v>1.5956624197037046E-3</v>
      </c>
      <c r="I15" s="1">
        <f t="shared" si="11"/>
        <v>0.67132645304083693</v>
      </c>
      <c r="J15" s="1">
        <f t="shared" si="4"/>
        <v>0.81934513670420783</v>
      </c>
      <c r="K15" s="23">
        <f t="shared" si="5"/>
        <v>905.63735895431057</v>
      </c>
      <c r="L15" s="1">
        <f t="shared" si="6"/>
        <v>5.1338919921608099E-2</v>
      </c>
      <c r="M15" s="2">
        <f t="shared" si="12"/>
        <v>1065.3889877398271</v>
      </c>
      <c r="N15" s="2">
        <f t="shared" si="7"/>
        <v>631.19616152053493</v>
      </c>
      <c r="O15" s="24">
        <f t="shared" si="13"/>
        <v>2.1757920241787638E-4</v>
      </c>
    </row>
    <row r="16" spans="1:22" x14ac:dyDescent="0.35">
      <c r="A16" s="26">
        <v>14000</v>
      </c>
      <c r="B16" s="23">
        <f t="shared" si="0"/>
        <v>9.075999999999965</v>
      </c>
      <c r="C16" s="23">
        <f t="shared" si="8"/>
        <v>468.74599999999998</v>
      </c>
      <c r="D16" s="23">
        <f t="shared" si="1"/>
        <v>-12.735555555555576</v>
      </c>
      <c r="E16" s="1">
        <f t="shared" si="9"/>
        <v>0.90374611988354836</v>
      </c>
      <c r="F16" s="1">
        <f t="shared" si="10"/>
        <v>0.58745056791668215</v>
      </c>
      <c r="G16" s="2">
        <f t="shared" si="2"/>
        <v>1243.1746408366409</v>
      </c>
      <c r="H16" s="24">
        <f t="shared" si="3"/>
        <v>1.5450130021578657E-3</v>
      </c>
      <c r="I16" s="1">
        <f t="shared" si="11"/>
        <v>0.65001725041140723</v>
      </c>
      <c r="J16" s="1">
        <f t="shared" si="4"/>
        <v>0.80623647300987766</v>
      </c>
      <c r="K16" s="23">
        <f t="shared" si="5"/>
        <v>870.27006706187728</v>
      </c>
      <c r="L16" s="1">
        <f t="shared" si="6"/>
        <v>4.9709323110056471E-2</v>
      </c>
      <c r="M16" s="2">
        <f t="shared" si="12"/>
        <v>1061.3594740223903</v>
      </c>
      <c r="N16" s="2">
        <f t="shared" si="7"/>
        <v>628.80885170176509</v>
      </c>
      <c r="O16" s="24">
        <f t="shared" si="13"/>
        <v>2.2335886782750441E-4</v>
      </c>
    </row>
    <row r="17" spans="1:15" x14ac:dyDescent="0.35">
      <c r="A17" s="26">
        <v>15000</v>
      </c>
      <c r="B17" s="23">
        <f t="shared" si="0"/>
        <v>5.5099999999999341</v>
      </c>
      <c r="C17" s="23">
        <f t="shared" si="8"/>
        <v>465.17999999999995</v>
      </c>
      <c r="D17" s="23">
        <f t="shared" si="1"/>
        <v>-14.716666666666704</v>
      </c>
      <c r="E17" s="1">
        <f t="shared" si="9"/>
        <v>0.89687084273237316</v>
      </c>
      <c r="F17" s="1">
        <f t="shared" si="10"/>
        <v>0.56433752402121995</v>
      </c>
      <c r="G17" s="2">
        <f t="shared" si="2"/>
        <v>1194.2623550841859</v>
      </c>
      <c r="H17" s="24">
        <f t="shared" si="3"/>
        <v>1.4956028339699532E-3</v>
      </c>
      <c r="I17" s="1">
        <f t="shared" si="11"/>
        <v>0.62922942427465967</v>
      </c>
      <c r="J17" s="1">
        <f t="shared" si="4"/>
        <v>0.79323982771584256</v>
      </c>
      <c r="K17" s="23">
        <f t="shared" si="5"/>
        <v>836.02958563338564</v>
      </c>
      <c r="L17" s="1">
        <f t="shared" si="6"/>
        <v>4.8119597967326434E-2</v>
      </c>
      <c r="M17" s="2">
        <f t="shared" si="12"/>
        <v>1057.3146036052262</v>
      </c>
      <c r="N17" s="2">
        <f t="shared" si="7"/>
        <v>626.41244371318783</v>
      </c>
      <c r="O17" s="24">
        <f t="shared" si="13"/>
        <v>2.2933518639972562E-4</v>
      </c>
    </row>
    <row r="18" spans="1:15" x14ac:dyDescent="0.35">
      <c r="A18" s="26">
        <v>16000</v>
      </c>
      <c r="B18" s="23">
        <f t="shared" si="0"/>
        <v>1.94399999999996</v>
      </c>
      <c r="C18" s="23">
        <f t="shared" si="8"/>
        <v>461.61399999999998</v>
      </c>
      <c r="D18" s="23">
        <f t="shared" si="1"/>
        <v>-16.697777777777802</v>
      </c>
      <c r="E18" s="1">
        <f t="shared" si="9"/>
        <v>0.88999556558119808</v>
      </c>
      <c r="F18" s="1">
        <f t="shared" si="10"/>
        <v>0.54196642061334988</v>
      </c>
      <c r="G18" s="2">
        <f t="shared" si="2"/>
        <v>1146.9201786303831</v>
      </c>
      <c r="H18" s="24">
        <f t="shared" si="3"/>
        <v>1.4474107463515583E-3</v>
      </c>
      <c r="I18" s="1">
        <f t="shared" si="11"/>
        <v>0.60895406850642786</v>
      </c>
      <c r="J18" s="1">
        <f t="shared" si="4"/>
        <v>0.78035509129269343</v>
      </c>
      <c r="K18" s="23">
        <f t="shared" si="5"/>
        <v>802.88824110790631</v>
      </c>
      <c r="L18" s="1">
        <f t="shared" si="6"/>
        <v>4.656906340779516E-2</v>
      </c>
      <c r="M18" s="2">
        <f t="shared" si="12"/>
        <v>1053.2541995627971</v>
      </c>
      <c r="N18" s="2">
        <f t="shared" si="7"/>
        <v>624.00683273419622</v>
      </c>
      <c r="O18" s="24">
        <f t="shared" si="13"/>
        <v>2.3551634864674148E-4</v>
      </c>
    </row>
    <row r="19" spans="1:15" x14ac:dyDescent="0.35">
      <c r="A19" s="26">
        <v>17000</v>
      </c>
      <c r="B19" s="23">
        <f t="shared" si="0"/>
        <v>-1.6220000000000709</v>
      </c>
      <c r="C19" s="23">
        <f t="shared" si="8"/>
        <v>458.04799999999994</v>
      </c>
      <c r="D19" s="23">
        <f t="shared" si="1"/>
        <v>-18.678888888888928</v>
      </c>
      <c r="E19" s="1">
        <f t="shared" si="9"/>
        <v>0.88312028843002288</v>
      </c>
      <c r="F19" s="1">
        <f t="shared" si="10"/>
        <v>0.52031889776366924</v>
      </c>
      <c r="G19" s="2">
        <f t="shared" si="2"/>
        <v>1101.109257825432</v>
      </c>
      <c r="H19" s="24">
        <f t="shared" si="3"/>
        <v>1.4004157733881653E-3</v>
      </c>
      <c r="I19" s="1">
        <f t="shared" si="11"/>
        <v>0.5891823623355682</v>
      </c>
      <c r="J19" s="1">
        <f t="shared" si="4"/>
        <v>0.76758215347646552</v>
      </c>
      <c r="K19" s="23">
        <f t="shared" si="5"/>
        <v>770.81883443608046</v>
      </c>
      <c r="L19" s="1">
        <f t="shared" si="6"/>
        <v>4.5057044873114259E-2</v>
      </c>
      <c r="M19" s="2">
        <f t="shared" si="12"/>
        <v>1049.1780815459595</v>
      </c>
      <c r="N19" s="2">
        <f t="shared" si="7"/>
        <v>621.59191191584728</v>
      </c>
      <c r="O19" s="24">
        <f t="shared" si="13"/>
        <v>2.4191094999224328E-4</v>
      </c>
    </row>
    <row r="20" spans="1:15" x14ac:dyDescent="0.35">
      <c r="A20" s="26">
        <v>18000</v>
      </c>
      <c r="B20" s="23">
        <f t="shared" si="0"/>
        <v>-5.188000000000045</v>
      </c>
      <c r="C20" s="23">
        <f t="shared" si="8"/>
        <v>454.48199999999997</v>
      </c>
      <c r="D20" s="23">
        <f t="shared" si="1"/>
        <v>-20.660000000000025</v>
      </c>
      <c r="E20" s="1">
        <f t="shared" si="9"/>
        <v>0.8762450112788478</v>
      </c>
      <c r="F20" s="1">
        <f t="shared" si="10"/>
        <v>0.49937691276661378</v>
      </c>
      <c r="G20" s="2">
        <f t="shared" si="2"/>
        <v>1056.7914103349633</v>
      </c>
      <c r="H20" s="24">
        <f t="shared" si="3"/>
        <v>1.3545971516395689E-3</v>
      </c>
      <c r="I20" s="1">
        <f t="shared" si="11"/>
        <v>0.56990557017584764</v>
      </c>
      <c r="J20" s="1">
        <f t="shared" si="4"/>
        <v>0.75492090325798211</v>
      </c>
      <c r="K20" s="23">
        <f t="shared" si="5"/>
        <v>739.79463651517358</v>
      </c>
      <c r="L20" s="1">
        <f t="shared" si="6"/>
        <v>4.3582874319353621E-2</v>
      </c>
      <c r="M20" s="2">
        <f t="shared" si="12"/>
        <v>1045.0860656884925</v>
      </c>
      <c r="N20" s="2">
        <f t="shared" si="7"/>
        <v>619.16757232548434</v>
      </c>
      <c r="O20" s="24">
        <f t="shared" si="13"/>
        <v>2.4852801400769315E-4</v>
      </c>
    </row>
    <row r="21" spans="1:15" x14ac:dyDescent="0.35">
      <c r="A21" s="26">
        <v>19000</v>
      </c>
      <c r="B21" s="23">
        <f t="shared" si="0"/>
        <v>-8.7540000000000759</v>
      </c>
      <c r="C21" s="23">
        <f t="shared" si="8"/>
        <v>450.91599999999994</v>
      </c>
      <c r="D21" s="23">
        <f t="shared" si="1"/>
        <v>-22.641111111111154</v>
      </c>
      <c r="E21" s="1">
        <f t="shared" si="9"/>
        <v>0.8693697341276726</v>
      </c>
      <c r="F21" s="1">
        <f t="shared" si="10"/>
        <v>0.47912273706510911</v>
      </c>
      <c r="G21" s="2">
        <f t="shared" si="2"/>
        <v>1013.9291186319251</v>
      </c>
      <c r="H21" s="24">
        <f t="shared" si="3"/>
        <v>1.3099343197379744E-3</v>
      </c>
      <c r="I21" s="1">
        <f t="shared" si="11"/>
        <v>0.55111504145685708</v>
      </c>
      <c r="J21" s="1">
        <f t="shared" si="4"/>
        <v>0.74237122887195528</v>
      </c>
      <c r="K21" s="23">
        <f t="shared" si="5"/>
        <v>709.78938363314478</v>
      </c>
      <c r="L21" s="1">
        <f t="shared" si="6"/>
        <v>4.2145890204070661E-2</v>
      </c>
      <c r="M21" s="2">
        <f t="shared" si="12"/>
        <v>1040.9779645103174</v>
      </c>
      <c r="N21" s="2">
        <f t="shared" si="7"/>
        <v>616.73370288939873</v>
      </c>
      <c r="O21" s="24">
        <f t="shared" si="13"/>
        <v>2.5537701717053018E-4</v>
      </c>
    </row>
    <row r="22" spans="1:15" x14ac:dyDescent="0.35">
      <c r="A22" s="26">
        <v>20000</v>
      </c>
      <c r="B22" s="23">
        <f t="shared" si="0"/>
        <v>-12.32000000000005</v>
      </c>
      <c r="C22" s="23">
        <f t="shared" si="8"/>
        <v>447.34999999999997</v>
      </c>
      <c r="D22" s="23">
        <f t="shared" si="1"/>
        <v>-24.622222222222252</v>
      </c>
      <c r="E22" s="1">
        <f t="shared" si="9"/>
        <v>0.86249445697649763</v>
      </c>
      <c r="F22" s="1">
        <f t="shared" si="10"/>
        <v>0.45953895318135607</v>
      </c>
      <c r="G22" s="2">
        <f t="shared" si="2"/>
        <v>972.48552350144928</v>
      </c>
      <c r="H22" s="24">
        <f t="shared" si="3"/>
        <v>1.2664069179837817E-3</v>
      </c>
      <c r="I22" s="1">
        <f t="shared" si="11"/>
        <v>0.53280221045394871</v>
      </c>
      <c r="J22" s="1">
        <f t="shared" si="4"/>
        <v>0.72993301778584363</v>
      </c>
      <c r="K22" s="23">
        <f t="shared" si="5"/>
        <v>680.7772729218035</v>
      </c>
      <c r="L22" s="1">
        <f t="shared" si="6"/>
        <v>4.0745437473305023E-2</v>
      </c>
      <c r="M22" s="2">
        <f t="shared" si="12"/>
        <v>1036.8535868172689</v>
      </c>
      <c r="N22" s="2">
        <f t="shared" si="7"/>
        <v>614.29019033344878</v>
      </c>
      <c r="O22" s="24">
        <f t="shared" si="13"/>
        <v>2.6246791525657491E-4</v>
      </c>
    </row>
    <row r="23" spans="1:15" x14ac:dyDescent="0.35">
      <c r="A23" s="26">
        <v>21000</v>
      </c>
      <c r="B23" s="23">
        <f t="shared" si="0"/>
        <v>-15.886000000000024</v>
      </c>
      <c r="C23" s="23">
        <f t="shared" si="8"/>
        <v>443.78399999999999</v>
      </c>
      <c r="D23" s="23">
        <f t="shared" si="1"/>
        <v>-26.603333333333349</v>
      </c>
      <c r="E23" s="1">
        <f t="shared" si="9"/>
        <v>0.85561917982532254</v>
      </c>
      <c r="F23" s="1">
        <f t="shared" si="10"/>
        <v>0.44060845165377316</v>
      </c>
      <c r="G23" s="2">
        <f t="shared" si="2"/>
        <v>932.42441755874779</v>
      </c>
      <c r="H23" s="24">
        <f t="shared" si="3"/>
        <v>1.2239947879389809E-3</v>
      </c>
      <c r="I23" s="1">
        <f t="shared" si="11"/>
        <v>0.51495859611717076</v>
      </c>
      <c r="J23" s="1">
        <f t="shared" si="4"/>
        <v>0.71760615668845174</v>
      </c>
      <c r="K23" s="23">
        <f t="shared" si="5"/>
        <v>652.73295781908814</v>
      </c>
      <c r="L23" s="1">
        <f t="shared" si="6"/>
        <v>3.9380867548496505E-2</v>
      </c>
      <c r="M23" s="2">
        <f t="shared" si="12"/>
        <v>1032.7127375972602</v>
      </c>
      <c r="N23" s="2">
        <f t="shared" si="7"/>
        <v>611.83691912154188</v>
      </c>
      <c r="O23" s="24">
        <f t="shared" si="13"/>
        <v>2.6981117148813734E-4</v>
      </c>
    </row>
    <row r="24" spans="1:15" x14ac:dyDescent="0.35">
      <c r="A24" s="26">
        <v>22000</v>
      </c>
      <c r="B24" s="23">
        <f t="shared" si="0"/>
        <v>-19.452000000000055</v>
      </c>
      <c r="C24" s="23">
        <f t="shared" si="8"/>
        <v>440.21799999999996</v>
      </c>
      <c r="D24" s="23">
        <f t="shared" si="1"/>
        <v>-28.584444444444475</v>
      </c>
      <c r="E24" s="1">
        <f t="shared" si="9"/>
        <v>0.84874390267414734</v>
      </c>
      <c r="F24" s="1">
        <f t="shared" si="10"/>
        <v>0.42231442798014546</v>
      </c>
      <c r="G24" s="2">
        <f t="shared" si="2"/>
        <v>893.7102387801433</v>
      </c>
      <c r="H24" s="24">
        <f t="shared" si="3"/>
        <v>1.1826779720181706E-3</v>
      </c>
      <c r="I24" s="1">
        <f t="shared" si="11"/>
        <v>0.49757580189920003</v>
      </c>
      <c r="J24" s="1">
        <f t="shared" si="4"/>
        <v>0.70539053147827269</v>
      </c>
      <c r="K24" s="23">
        <f t="shared" si="5"/>
        <v>625.63154354053802</v>
      </c>
      <c r="L24" s="1">
        <f t="shared" si="6"/>
        <v>3.8051538313326465E-2</v>
      </c>
      <c r="M24" s="2">
        <f t="shared" si="12"/>
        <v>1028.5552179126889</v>
      </c>
      <c r="N24" s="2">
        <f t="shared" si="7"/>
        <v>609.37377139188993</v>
      </c>
      <c r="O24" s="24">
        <f t="shared" si="13"/>
        <v>2.7741778656940229E-4</v>
      </c>
    </row>
    <row r="25" spans="1:15" x14ac:dyDescent="0.35">
      <c r="A25" s="26">
        <v>23000</v>
      </c>
      <c r="B25" s="23">
        <f t="shared" si="0"/>
        <v>-23.018000000000086</v>
      </c>
      <c r="C25" s="23">
        <f t="shared" si="8"/>
        <v>436.65199999999993</v>
      </c>
      <c r="D25" s="23">
        <f t="shared" si="1"/>
        <v>-30.565555555555605</v>
      </c>
      <c r="E25" s="1">
        <f t="shared" si="9"/>
        <v>0.84186862552297215</v>
      </c>
      <c r="F25" s="1">
        <f t="shared" si="10"/>
        <v>0.40464037956700688</v>
      </c>
      <c r="G25" s="2">
        <f t="shared" si="2"/>
        <v>856.30806404729117</v>
      </c>
      <c r="H25" s="24">
        <f t="shared" si="3"/>
        <v>1.1424367130771322E-3</v>
      </c>
      <c r="I25" s="1">
        <f t="shared" si="11"/>
        <v>0.48064551558224738</v>
      </c>
      <c r="J25" s="1">
        <f t="shared" si="4"/>
        <v>0.69328602725155752</v>
      </c>
      <c r="K25" s="23">
        <f t="shared" si="5"/>
        <v>599.44858256000066</v>
      </c>
      <c r="L25" s="1">
        <f t="shared" si="6"/>
        <v>3.675681410048056E-2</v>
      </c>
      <c r="M25" s="2">
        <f t="shared" si="12"/>
        <v>1024.3808247889115</v>
      </c>
      <c r="N25" s="2">
        <f t="shared" si="7"/>
        <v>606.90062689093565</v>
      </c>
      <c r="O25" s="24">
        <f t="shared" si="13"/>
        <v>2.8529933075165315E-4</v>
      </c>
    </row>
    <row r="26" spans="1:15" x14ac:dyDescent="0.35">
      <c r="A26" s="26">
        <v>24000</v>
      </c>
      <c r="B26" s="23">
        <f t="shared" si="0"/>
        <v>-26.58400000000006</v>
      </c>
      <c r="C26" s="23">
        <f t="shared" si="8"/>
        <v>433.08599999999996</v>
      </c>
      <c r="D26" s="23">
        <f t="shared" si="1"/>
        <v>-32.546666666666702</v>
      </c>
      <c r="E26" s="1">
        <f t="shared" si="9"/>
        <v>0.83499334837179706</v>
      </c>
      <c r="F26" s="1">
        <f t="shared" si="10"/>
        <v>0.38757010268529646</v>
      </c>
      <c r="G26" s="2">
        <f t="shared" si="2"/>
        <v>820.18360270467804</v>
      </c>
      <c r="H26" s="24">
        <f t="shared" si="3"/>
        <v>1.1032514539989387E-3</v>
      </c>
      <c r="I26" s="1">
        <f t="shared" si="11"/>
        <v>0.46415950910392562</v>
      </c>
      <c r="J26" s="1">
        <f t="shared" si="4"/>
        <v>0.68129252829010656</v>
      </c>
      <c r="K26" s="23">
        <f t="shared" si="5"/>
        <v>574.16007009963323</v>
      </c>
      <c r="L26" s="1">
        <f t="shared" si="6"/>
        <v>3.5496065678332224E-2</v>
      </c>
      <c r="M26" s="2">
        <f t="shared" si="12"/>
        <v>1020.1893510986098</v>
      </c>
      <c r="N26" s="2">
        <f t="shared" si="7"/>
        <v>604.41736290484425</v>
      </c>
      <c r="O26" s="24">
        <f t="shared" si="13"/>
        <v>2.9346797808290324E-4</v>
      </c>
    </row>
    <row r="27" spans="1:15" x14ac:dyDescent="0.35">
      <c r="A27" s="26">
        <v>25000</v>
      </c>
      <c r="B27" s="23">
        <f t="shared" si="0"/>
        <v>-30.150000000000034</v>
      </c>
      <c r="C27" s="23">
        <f t="shared" si="8"/>
        <v>429.52</v>
      </c>
      <c r="D27" s="23">
        <f t="shared" si="1"/>
        <v>-34.5277777777778</v>
      </c>
      <c r="E27" s="1">
        <f t="shared" si="9"/>
        <v>0.82811807122062198</v>
      </c>
      <c r="F27" s="1">
        <f t="shared" si="10"/>
        <v>0.3710876894323264</v>
      </c>
      <c r="G27" s="2">
        <f t="shared" si="2"/>
        <v>785.30319013047767</v>
      </c>
      <c r="H27" s="24">
        <f t="shared" si="3"/>
        <v>1.0651028372775637E-3</v>
      </c>
      <c r="I27" s="1">
        <f t="shared" si="11"/>
        <v>0.44810963838206541</v>
      </c>
      <c r="J27" s="1">
        <f t="shared" si="4"/>
        <v>0.66940991804877337</v>
      </c>
      <c r="K27" s="23">
        <f t="shared" si="5"/>
        <v>549.74243962925425</v>
      </c>
      <c r="L27" s="1">
        <f t="shared" si="6"/>
        <v>3.4268670237545658E-2</v>
      </c>
      <c r="M27" s="2">
        <f t="shared" si="12"/>
        <v>1015.9805854418648</v>
      </c>
      <c r="N27" s="2">
        <f t="shared" si="7"/>
        <v>601.92385418845265</v>
      </c>
      <c r="O27" s="24">
        <f t="shared" si="13"/>
        <v>3.0193654300962077E-4</v>
      </c>
    </row>
    <row r="28" spans="1:15" x14ac:dyDescent="0.35">
      <c r="A28" s="26">
        <v>26000</v>
      </c>
      <c r="B28" s="23">
        <f t="shared" si="0"/>
        <v>-33.716000000000065</v>
      </c>
      <c r="C28" s="23">
        <f t="shared" si="8"/>
        <v>425.95399999999995</v>
      </c>
      <c r="D28" s="23">
        <f t="shared" si="1"/>
        <v>-36.508888888888926</v>
      </c>
      <c r="E28" s="1">
        <f t="shared" si="9"/>
        <v>0.82124279406944678</v>
      </c>
      <c r="F28" s="1">
        <f t="shared" si="10"/>
        <v>0.35517752470010078</v>
      </c>
      <c r="G28" s="2">
        <f t="shared" si="2"/>
        <v>751.63378132084722</v>
      </c>
      <c r="H28" s="24">
        <f t="shared" si="3"/>
        <v>1.0279717045989522E-3</v>
      </c>
      <c r="I28" s="1">
        <f t="shared" si="11"/>
        <v>0.432487843138464</v>
      </c>
      <c r="J28" s="1">
        <f t="shared" si="4"/>
        <v>0.65763807914267247</v>
      </c>
      <c r="K28" s="23">
        <f t="shared" si="5"/>
        <v>526.17255837510368</v>
      </c>
      <c r="L28" s="1">
        <f t="shared" si="6"/>
        <v>3.307401137759719E-2</v>
      </c>
      <c r="M28" s="2">
        <f t="shared" si="12"/>
        <v>1011.7543120217408</v>
      </c>
      <c r="N28" s="2">
        <f t="shared" si="7"/>
        <v>599.4199728915587</v>
      </c>
      <c r="O28" s="24">
        <f t="shared" si="13"/>
        <v>3.1071851951258831E-4</v>
      </c>
    </row>
    <row r="29" spans="1:15" x14ac:dyDescent="0.35">
      <c r="A29" s="26">
        <v>27000</v>
      </c>
      <c r="B29" s="23">
        <f t="shared" si="0"/>
        <v>-37.282000000000039</v>
      </c>
      <c r="C29" s="23">
        <f t="shared" si="8"/>
        <v>422.38799999999998</v>
      </c>
      <c r="D29" s="23">
        <f t="shared" si="1"/>
        <v>-38.490000000000023</v>
      </c>
      <c r="E29" s="1">
        <f t="shared" si="9"/>
        <v>0.81436751691827181</v>
      </c>
      <c r="F29" s="1">
        <f t="shared" si="10"/>
        <v>0.33982428315002428</v>
      </c>
      <c r="G29" s="2">
        <f t="shared" si="2"/>
        <v>719.14294448774433</v>
      </c>
      <c r="H29" s="24">
        <f t="shared" si="3"/>
        <v>9.9183909641952341E-4</v>
      </c>
      <c r="I29" s="1">
        <f t="shared" si="11"/>
        <v>0.4172861467215524</v>
      </c>
      <c r="J29" s="1">
        <f t="shared" si="4"/>
        <v>0.64597689333408237</v>
      </c>
      <c r="K29" s="23">
        <f t="shared" si="5"/>
        <v>503.42772283806949</v>
      </c>
      <c r="L29" s="1">
        <f t="shared" si="6"/>
        <v>3.1911479093214012E-2</v>
      </c>
      <c r="M29" s="2">
        <f t="shared" si="12"/>
        <v>1007.5103105151719</v>
      </c>
      <c r="N29" s="2">
        <f t="shared" si="7"/>
        <v>596.90558848242699</v>
      </c>
      <c r="O29" s="24">
        <f t="shared" si="13"/>
        <v>3.1982812297463718E-4</v>
      </c>
    </row>
    <row r="30" spans="1:15" x14ac:dyDescent="0.35">
      <c r="A30" s="26">
        <v>28000</v>
      </c>
      <c r="B30" s="23">
        <f t="shared" si="0"/>
        <v>-40.84800000000007</v>
      </c>
      <c r="C30" s="23">
        <f t="shared" si="8"/>
        <v>418.82199999999995</v>
      </c>
      <c r="D30" s="23">
        <f t="shared" si="1"/>
        <v>-40.471111111111149</v>
      </c>
      <c r="E30" s="1">
        <f t="shared" si="9"/>
        <v>0.80749223976709661</v>
      </c>
      <c r="F30" s="1">
        <f t="shared" si="10"/>
        <v>0.32501292619403466</v>
      </c>
      <c r="G30" s="2">
        <f t="shared" si="2"/>
        <v>687.79885467034001</v>
      </c>
      <c r="H30" s="24">
        <f t="shared" si="3"/>
        <v>9.5668625154204901E-4</v>
      </c>
      <c r="I30" s="1">
        <f t="shared" si="11"/>
        <v>0.40249665592795975</v>
      </c>
      <c r="J30" s="1">
        <f t="shared" si="4"/>
        <v>0.63442624151902771</v>
      </c>
      <c r="K30" s="23">
        <f t="shared" si="5"/>
        <v>481.48565432143022</v>
      </c>
      <c r="L30" s="1">
        <f t="shared" si="6"/>
        <v>3.0780469760728457E-2</v>
      </c>
      <c r="M30" s="2">
        <f t="shared" si="12"/>
        <v>1003.2483559389319</v>
      </c>
      <c r="N30" s="2">
        <f t="shared" si="7"/>
        <v>594.38056766838179</v>
      </c>
      <c r="O30" s="24">
        <f t="shared" si="13"/>
        <v>3.2928033499522719E-4</v>
      </c>
    </row>
    <row r="31" spans="1:15" x14ac:dyDescent="0.35">
      <c r="A31" s="26">
        <v>29000</v>
      </c>
      <c r="B31" s="23">
        <f t="shared" si="0"/>
        <v>-44.414000000000044</v>
      </c>
      <c r="C31" s="23">
        <f t="shared" si="8"/>
        <v>415.25599999999997</v>
      </c>
      <c r="D31" s="23">
        <f t="shared" si="1"/>
        <v>-42.452222222222247</v>
      </c>
      <c r="E31" s="1">
        <f t="shared" si="9"/>
        <v>0.80061696261592152</v>
      </c>
      <c r="F31" s="1">
        <f t="shared" si="10"/>
        <v>0.31072869898221023</v>
      </c>
      <c r="G31" s="2">
        <f t="shared" si="2"/>
        <v>657.57028736013285</v>
      </c>
      <c r="H31" s="24">
        <f t="shared" si="3"/>
        <v>9.2249460668889947E-4</v>
      </c>
      <c r="I31" s="1">
        <f t="shared" si="11"/>
        <v>0.38811156082296938</v>
      </c>
      <c r="J31" s="1">
        <f t="shared" si="4"/>
        <v>0.62298600371354196</v>
      </c>
      <c r="K31" s="23">
        <f t="shared" si="5"/>
        <v>460.32449446819021</v>
      </c>
      <c r="L31" s="1">
        <f t="shared" si="6"/>
        <v>2.9680386124347612E-2</v>
      </c>
      <c r="M31" s="2">
        <f t="shared" si="12"/>
        <v>998.96821851045968</v>
      </c>
      <c r="N31" s="2">
        <f t="shared" si="7"/>
        <v>591.84477431335245</v>
      </c>
      <c r="O31" s="24">
        <f t="shared" si="13"/>
        <v>3.3909095138566687E-4</v>
      </c>
    </row>
    <row r="32" spans="1:15" x14ac:dyDescent="0.35">
      <c r="A32" s="26">
        <v>30000</v>
      </c>
      <c r="B32" s="23">
        <f t="shared" si="0"/>
        <v>-47.980000000000075</v>
      </c>
      <c r="C32" s="23">
        <f t="shared" si="8"/>
        <v>411.68999999999994</v>
      </c>
      <c r="D32" s="23">
        <f t="shared" si="1"/>
        <v>-44.43333333333338</v>
      </c>
      <c r="E32" s="1">
        <f t="shared" si="9"/>
        <v>0.79374168546474633</v>
      </c>
      <c r="F32" s="1">
        <f t="shared" si="10"/>
        <v>0.29695712739687946</v>
      </c>
      <c r="G32" s="2">
        <f t="shared" si="2"/>
        <v>628.42661213982421</v>
      </c>
      <c r="H32" s="24">
        <f t="shared" si="3"/>
        <v>8.8924579607258642E-4</v>
      </c>
      <c r="I32" s="1">
        <f t="shared" si="11"/>
        <v>0.37412313455983742</v>
      </c>
      <c r="J32" s="1">
        <f t="shared" si="4"/>
        <v>0.61165605903958598</v>
      </c>
      <c r="K32" s="23">
        <f t="shared" si="5"/>
        <v>439.9228008080471</v>
      </c>
      <c r="L32" s="1">
        <f t="shared" si="6"/>
        <v>2.8610637282335923E-2</v>
      </c>
      <c r="M32" s="2">
        <f t="shared" si="12"/>
        <v>994.66966350329255</v>
      </c>
      <c r="N32" s="2">
        <f t="shared" si="7"/>
        <v>589.29806935222393</v>
      </c>
      <c r="O32" s="24">
        <f t="shared" si="13"/>
        <v>3.4927663359950574E-4</v>
      </c>
    </row>
    <row r="33" spans="1:15" x14ac:dyDescent="0.35">
      <c r="A33" s="26">
        <v>31000</v>
      </c>
      <c r="B33" s="23">
        <f t="shared" si="0"/>
        <v>-51.546000000000049</v>
      </c>
      <c r="C33" s="23">
        <f t="shared" si="8"/>
        <v>408.12399999999997</v>
      </c>
      <c r="D33" s="23">
        <f t="shared" si="1"/>
        <v>-46.414444444444477</v>
      </c>
      <c r="E33" s="1">
        <f t="shared" si="9"/>
        <v>0.78686640831357124</v>
      </c>
      <c r="F33" s="1">
        <f t="shared" si="10"/>
        <v>0.28368401505328583</v>
      </c>
      <c r="G33" s="2">
        <f t="shared" si="2"/>
        <v>600.33778633606448</v>
      </c>
      <c r="H33" s="24">
        <f t="shared" si="3"/>
        <v>8.5692165096358779E-4</v>
      </c>
      <c r="I33" s="1">
        <f t="shared" si="11"/>
        <v>0.36052373319796865</v>
      </c>
      <c r="J33" s="1">
        <f t="shared" si="4"/>
        <v>0.6004362857106228</v>
      </c>
      <c r="K33" s="23">
        <f t="shared" si="5"/>
        <v>420.25954231407053</v>
      </c>
      <c r="L33" s="1">
        <f t="shared" si="6"/>
        <v>2.7570638673110378E-2</v>
      </c>
      <c r="M33" s="2">
        <f t="shared" si="12"/>
        <v>990.35245109685331</v>
      </c>
      <c r="N33" s="2">
        <f t="shared" si="7"/>
        <v>586.74031070184196</v>
      </c>
      <c r="O33" s="24">
        <f t="shared" si="13"/>
        <v>3.5985496387529761E-4</v>
      </c>
    </row>
    <row r="34" spans="1:15" x14ac:dyDescent="0.35">
      <c r="A34" s="26">
        <v>32000</v>
      </c>
      <c r="B34" s="23">
        <f t="shared" si="0"/>
        <v>-55.112000000000023</v>
      </c>
      <c r="C34" s="23">
        <f t="shared" si="8"/>
        <v>404.55799999999999</v>
      </c>
      <c r="D34" s="23">
        <f t="shared" si="1"/>
        <v>-48.395555555555568</v>
      </c>
      <c r="E34" s="1">
        <f t="shared" si="9"/>
        <v>0.77999113116239616</v>
      </c>
      <c r="F34" s="1">
        <f t="shared" si="10"/>
        <v>0.27089544030684098</v>
      </c>
      <c r="G34" s="2">
        <f t="shared" si="2"/>
        <v>573.27434868614296</v>
      </c>
      <c r="H34" s="24">
        <f t="shared" si="3"/>
        <v>8.2550419925539573E-4</v>
      </c>
      <c r="I34" s="1">
        <f t="shared" si="11"/>
        <v>0.34730579551992347</v>
      </c>
      <c r="J34" s="1">
        <f t="shared" si="4"/>
        <v>0.58932656101683001</v>
      </c>
      <c r="K34" s="23">
        <f t="shared" si="5"/>
        <v>401.31409496914114</v>
      </c>
      <c r="L34" s="1">
        <f t="shared" si="6"/>
        <v>2.6559812061246343E-2</v>
      </c>
      <c r="M34" s="2">
        <f t="shared" si="12"/>
        <v>986.01633622031693</v>
      </c>
      <c r="N34" s="2">
        <f t="shared" si="7"/>
        <v>584.17135316851113</v>
      </c>
      <c r="O34" s="24">
        <f t="shared" si="13"/>
        <v>3.7084450439394632E-4</v>
      </c>
    </row>
    <row r="35" spans="1:15" x14ac:dyDescent="0.35">
      <c r="A35" s="26">
        <v>33000</v>
      </c>
      <c r="B35" s="23">
        <f t="shared" si="0"/>
        <v>-58.678000000000054</v>
      </c>
      <c r="C35" s="23">
        <f t="shared" si="8"/>
        <v>400.99199999999996</v>
      </c>
      <c r="D35" s="23">
        <f t="shared" si="1"/>
        <v>-50.376666666666701</v>
      </c>
      <c r="E35" s="1">
        <f t="shared" si="9"/>
        <v>0.77311585401122096</v>
      </c>
      <c r="F35" s="1">
        <f t="shared" si="10"/>
        <v>0.25857775326701377</v>
      </c>
      <c r="G35" s="2">
        <f t="shared" si="2"/>
        <v>547.20741301871988</v>
      </c>
      <c r="H35" s="24">
        <f t="shared" si="3"/>
        <v>7.9497566502675725E-4</v>
      </c>
      <c r="I35" s="1">
        <f t="shared" si="11"/>
        <v>0.33446184284724395</v>
      </c>
      <c r="J35" s="1">
        <f t="shared" si="4"/>
        <v>0.57832676130993965</v>
      </c>
      <c r="K35" s="23">
        <f t="shared" si="5"/>
        <v>383.06623734221984</v>
      </c>
      <c r="L35" s="1">
        <f t="shared" si="6"/>
        <v>2.5577585523393072E-2</v>
      </c>
      <c r="M35" s="2">
        <f t="shared" si="12"/>
        <v>981.66106839027111</v>
      </c>
      <c r="N35" s="2">
        <f t="shared" si="7"/>
        <v>581.59104835181631</v>
      </c>
      <c r="O35" s="24">
        <f t="shared" si="13"/>
        <v>3.8226486078022482E-4</v>
      </c>
    </row>
    <row r="36" spans="1:15" x14ac:dyDescent="0.35">
      <c r="A36" s="26">
        <v>34000</v>
      </c>
      <c r="B36" s="23">
        <f t="shared" si="0"/>
        <v>-62.244000000000085</v>
      </c>
      <c r="C36" s="23">
        <f t="shared" si="8"/>
        <v>397.42599999999993</v>
      </c>
      <c r="D36" s="23">
        <f t="shared" si="1"/>
        <v>-52.357777777777827</v>
      </c>
      <c r="E36" s="1">
        <f t="shared" si="9"/>
        <v>0.76624057686004576</v>
      </c>
      <c r="F36" s="1">
        <f t="shared" si="10"/>
        <v>0.24671757281789716</v>
      </c>
      <c r="G36" s="2">
        <f t="shared" si="2"/>
        <v>522.10866194869027</v>
      </c>
      <c r="H36" s="24">
        <f t="shared" si="3"/>
        <v>7.6531846810106092E-4</v>
      </c>
      <c r="I36" s="1">
        <f t="shared" si="11"/>
        <v>0.3219844788550793</v>
      </c>
      <c r="J36" s="1">
        <f t="shared" si="4"/>
        <v>0.56743676198769433</v>
      </c>
      <c r="K36" s="23">
        <f t="shared" si="5"/>
        <v>365.49614617451061</v>
      </c>
      <c r="L36" s="1">
        <f t="shared" si="6"/>
        <v>2.4623393434097387E-2</v>
      </c>
      <c r="M36" s="2">
        <f t="shared" si="12"/>
        <v>977.28639154186544</v>
      </c>
      <c r="N36" s="2">
        <f t="shared" si="7"/>
        <v>578.99924454458494</v>
      </c>
      <c r="O36" s="24">
        <f t="shared" si="13"/>
        <v>3.941367503083253E-4</v>
      </c>
    </row>
    <row r="37" spans="1:15" x14ac:dyDescent="0.35">
      <c r="A37" s="26">
        <v>35000</v>
      </c>
      <c r="B37" s="23">
        <f t="shared" si="0"/>
        <v>-65.810000000000059</v>
      </c>
      <c r="C37" s="23">
        <f t="shared" si="8"/>
        <v>393.85999999999996</v>
      </c>
      <c r="D37" s="23">
        <f t="shared" si="1"/>
        <v>-54.338888888888924</v>
      </c>
      <c r="E37" s="1">
        <f t="shared" si="9"/>
        <v>0.75936529970887079</v>
      </c>
      <c r="F37" s="1">
        <f t="shared" si="10"/>
        <v>0.23530178364549442</v>
      </c>
      <c r="G37" s="2">
        <f t="shared" si="2"/>
        <v>497.95034058626817</v>
      </c>
      <c r="H37" s="24">
        <f t="shared" si="3"/>
        <v>7.3651522360282189E-4</v>
      </c>
      <c r="I37" s="1">
        <f t="shared" si="11"/>
        <v>0.3098663893855903</v>
      </c>
      <c r="J37" s="1">
        <f t="shared" si="4"/>
        <v>0.55665643747790283</v>
      </c>
      <c r="K37" s="23">
        <f t="shared" si="5"/>
        <v>348.58439197557652</v>
      </c>
      <c r="L37" s="1">
        <f t="shared" si="6"/>
        <v>2.3696676451534011E-2</v>
      </c>
      <c r="M37" s="2">
        <f t="shared" si="12"/>
        <v>972.89204385312564</v>
      </c>
      <c r="N37" s="2">
        <f t="shared" si="7"/>
        <v>576.39578662880194</v>
      </c>
      <c r="O37" s="24">
        <f t="shared" si="13"/>
        <v>4.064820752044805E-4</v>
      </c>
    </row>
    <row r="38" spans="1:15" s="32" customFormat="1" x14ac:dyDescent="0.35">
      <c r="A38" s="27">
        <v>36000</v>
      </c>
      <c r="B38" s="28">
        <f t="shared" si="0"/>
        <v>-69.376000000000033</v>
      </c>
      <c r="C38" s="28">
        <f t="shared" si="8"/>
        <v>390.29399999999998</v>
      </c>
      <c r="D38" s="28">
        <f t="shared" ref="D38" si="14">(5/9)*(B38-32)</f>
        <v>-56.320000000000022</v>
      </c>
      <c r="E38" s="29">
        <f t="shared" ref="E38" si="15">C38/$R$2</f>
        <v>0.7524900225576957</v>
      </c>
      <c r="F38" s="29">
        <f t="shared" ref="F38" si="16">POWER(E38,5.2562)</f>
        <v>0.22431753327177126</v>
      </c>
      <c r="G38" s="30">
        <f t="shared" ref="G38" si="17">F38*$S$2</f>
        <v>474.70525026038774</v>
      </c>
      <c r="H38" s="31">
        <f t="shared" ref="H38" si="18">I38*$T$2</f>
        <v>7.0854874151122377E-4</v>
      </c>
      <c r="I38" s="29">
        <f t="shared" ref="I38" si="19">F38/E38</f>
        <v>0.29810034226011567</v>
      </c>
      <c r="J38" s="29">
        <f t="shared" ref="J38" si="20">SQRT(I38)</f>
        <v>0.54598566122208347</v>
      </c>
      <c r="K38" s="28">
        <f t="shared" ref="K38" si="21">1481.4354*F38</f>
        <v>332.31193462947977</v>
      </c>
      <c r="L38" s="29">
        <f t="shared" ref="L38" si="22">H38*$V$2</f>
        <v>2.27968815031412E-2</v>
      </c>
      <c r="M38" s="30">
        <f t="shared" ref="M38" si="23">$U$2*SQRT(E38)</f>
        <v>968.47775756209501</v>
      </c>
      <c r="N38" s="30">
        <f t="shared" ref="N38" si="24">3600*M38/6076.4</f>
        <v>573.7805159672738</v>
      </c>
      <c r="O38" s="31">
        <f t="shared" ref="O38" si="25">(0.226968*POWER(10,-7)*POWER(C38,1.5))/(H38*(C38+198.73))</f>
        <v>4.1932400147644294E-4</v>
      </c>
    </row>
    <row r="39" spans="1:15" x14ac:dyDescent="0.35">
      <c r="A39" s="26">
        <v>36089</v>
      </c>
      <c r="B39" s="23">
        <f t="shared" ref="B39" si="26">C39-459.67</f>
        <v>-69.680000000000007</v>
      </c>
      <c r="C39" s="23">
        <v>389.99</v>
      </c>
      <c r="D39" s="23">
        <f t="shared" ref="D39" si="27">(5/9)*(B39-32)</f>
        <v>-56.488888888888894</v>
      </c>
      <c r="E39" s="1">
        <f t="shared" ref="E39" si="28">C39/$R$2</f>
        <v>0.75190390807257035</v>
      </c>
      <c r="F39" s="1">
        <f>0.223361*EXP(-0.0481*(A39-36089)/1000)</f>
        <v>0.223361</v>
      </c>
      <c r="G39" s="2">
        <f t="shared" ref="G39" si="29">F39*$S$2</f>
        <v>472.68101541999994</v>
      </c>
      <c r="H39" s="24">
        <f t="shared" ref="H39" si="30">I39*$T$2</f>
        <v>7.0607731650300159E-4</v>
      </c>
      <c r="I39" s="1">
        <f t="shared" ref="I39" si="31">F39/E39</f>
        <v>0.29706056532218772</v>
      </c>
      <c r="J39" s="1">
        <f>SQRT(I39)</f>
        <v>0.54503262775928174</v>
      </c>
      <c r="K39" s="23">
        <f t="shared" ref="K39" si="32">1481.4354*F39</f>
        <v>330.89489237940001</v>
      </c>
      <c r="L39" s="1">
        <f>H39*$V$2</f>
        <v>2.271736575530969E-2</v>
      </c>
      <c r="M39" s="2">
        <f>$U$2*SQRT(E39)</f>
        <v>968.1005104214338</v>
      </c>
      <c r="N39" s="2">
        <f t="shared" ref="N39" si="33">3600*M39/6076.4</f>
        <v>573.55701361285662</v>
      </c>
      <c r="O39" s="24">
        <f t="shared" ref="O39" si="34">(0.226968*POWER(10,-7)*POWER(C39,1.5))/(H39*(C39+198.73))</f>
        <v>4.2051722320626757E-4</v>
      </c>
    </row>
    <row r="40" spans="1:15" x14ac:dyDescent="0.35">
      <c r="A40" s="26">
        <v>37000</v>
      </c>
      <c r="B40" s="23">
        <f t="shared" si="0"/>
        <v>-69.680000000000007</v>
      </c>
      <c r="C40" s="23">
        <v>389.99</v>
      </c>
      <c r="D40" s="23">
        <f t="shared" si="1"/>
        <v>-56.488888888888894</v>
      </c>
      <c r="E40" s="1">
        <f t="shared" si="9"/>
        <v>0.75190390807257035</v>
      </c>
      <c r="F40" s="1">
        <f t="shared" ref="F40:F63" si="35">0.223361*EXP(-0.0481*(A40-36089)/1000)</f>
        <v>0.2137848630790446</v>
      </c>
      <c r="G40" s="2">
        <f t="shared" si="2"/>
        <v>452.41580294513574</v>
      </c>
      <c r="H40" s="24">
        <f t="shared" si="3"/>
        <v>6.758057245079195E-4</v>
      </c>
      <c r="I40" s="1">
        <f t="shared" si="11"/>
        <v>0.2843247132829253</v>
      </c>
      <c r="J40" s="1">
        <f t="shared" ref="J40:J63" si="36">SQRT(I40)</f>
        <v>0.53322107355479242</v>
      </c>
      <c r="K40" s="23">
        <f t="shared" si="5"/>
        <v>316.7084641494497</v>
      </c>
      <c r="L40" s="1">
        <f t="shared" si="6"/>
        <v>2.1743406089314864E-2</v>
      </c>
      <c r="M40" s="2">
        <f t="shared" si="12"/>
        <v>968.1005104214338</v>
      </c>
      <c r="N40" s="2">
        <f t="shared" si="7"/>
        <v>573.55701361285662</v>
      </c>
      <c r="O40" s="24">
        <f t="shared" si="13"/>
        <v>4.3935359192314111E-4</v>
      </c>
    </row>
    <row r="41" spans="1:15" x14ac:dyDescent="0.35">
      <c r="A41" s="26">
        <v>38000</v>
      </c>
      <c r="B41" s="23">
        <f t="shared" si="0"/>
        <v>-69.680000000000007</v>
      </c>
      <c r="C41" s="23">
        <v>389.99</v>
      </c>
      <c r="D41" s="23">
        <f t="shared" si="1"/>
        <v>-56.488888888888894</v>
      </c>
      <c r="E41" s="1">
        <f t="shared" si="9"/>
        <v>0.75190390807257035</v>
      </c>
      <c r="F41" s="1">
        <f t="shared" si="35"/>
        <v>0.20374520062755289</v>
      </c>
      <c r="G41" s="2">
        <f t="shared" si="2"/>
        <v>431.16966847203992</v>
      </c>
      <c r="H41" s="24">
        <f t="shared" si="3"/>
        <v>6.440688594224963E-4</v>
      </c>
      <c r="I41" s="1">
        <f t="shared" si="11"/>
        <v>0.27097239213695951</v>
      </c>
      <c r="J41" s="1">
        <f t="shared" si="36"/>
        <v>0.52055008609831144</v>
      </c>
      <c r="K41" s="23">
        <f t="shared" si="5"/>
        <v>301.8353527897591</v>
      </c>
      <c r="L41" s="1">
        <f t="shared" si="6"/>
        <v>2.0722302655992189E-2</v>
      </c>
      <c r="M41" s="2">
        <f t="shared" si="12"/>
        <v>968.1005104214338</v>
      </c>
      <c r="N41" s="2">
        <f t="shared" si="7"/>
        <v>573.55701361285662</v>
      </c>
      <c r="O41" s="24">
        <f t="shared" si="13"/>
        <v>4.6100299395161894E-4</v>
      </c>
    </row>
    <row r="42" spans="1:15" x14ac:dyDescent="0.35">
      <c r="A42" s="26">
        <v>39000</v>
      </c>
      <c r="B42" s="23">
        <f t="shared" si="0"/>
        <v>-69.680000000000007</v>
      </c>
      <c r="C42" s="23">
        <v>389.99</v>
      </c>
      <c r="D42" s="23">
        <f t="shared" si="1"/>
        <v>-56.488888888888894</v>
      </c>
      <c r="E42" s="1">
        <f t="shared" si="9"/>
        <v>0.75190390807257035</v>
      </c>
      <c r="F42" s="1">
        <f t="shared" si="35"/>
        <v>0.19417701600048798</v>
      </c>
      <c r="G42" s="2">
        <f t="shared" si="2"/>
        <v>410.92128480055266</v>
      </c>
      <c r="H42" s="24">
        <f t="shared" si="3"/>
        <v>6.1382240581025756E-4</v>
      </c>
      <c r="I42" s="1">
        <f t="shared" si="11"/>
        <v>0.25824711630804142</v>
      </c>
      <c r="J42" s="1">
        <f t="shared" si="36"/>
        <v>0.50818020062576363</v>
      </c>
      <c r="K42" s="23">
        <f t="shared" si="5"/>
        <v>287.66070536948934</v>
      </c>
      <c r="L42" s="1">
        <f t="shared" si="6"/>
        <v>1.9749151793543664E-2</v>
      </c>
      <c r="M42" s="2">
        <f t="shared" si="12"/>
        <v>968.1005104214338</v>
      </c>
      <c r="N42" s="2">
        <f t="shared" si="7"/>
        <v>573.55701361285662</v>
      </c>
      <c r="O42" s="24">
        <f t="shared" si="13"/>
        <v>4.8371918277052476E-4</v>
      </c>
    </row>
    <row r="43" spans="1:15" x14ac:dyDescent="0.35">
      <c r="A43" s="26">
        <v>40000</v>
      </c>
      <c r="B43" s="23">
        <f t="shared" si="0"/>
        <v>-69.680000000000007</v>
      </c>
      <c r="C43" s="23">
        <v>389.99</v>
      </c>
      <c r="D43" s="23">
        <f t="shared" si="1"/>
        <v>-56.488888888888894</v>
      </c>
      <c r="E43" s="1">
        <f t="shared" si="9"/>
        <v>0.75190390807257035</v>
      </c>
      <c r="F43" s="1">
        <f t="shared" si="35"/>
        <v>0.18505816788184448</v>
      </c>
      <c r="G43" s="2">
        <f t="shared" si="2"/>
        <v>391.62379603491689</v>
      </c>
      <c r="H43" s="24">
        <f t="shared" si="3"/>
        <v>5.849963716807083E-4</v>
      </c>
      <c r="I43" s="1">
        <f t="shared" si="11"/>
        <v>0.24611943879401077</v>
      </c>
      <c r="J43" s="1">
        <f t="shared" si="36"/>
        <v>0.49610426201959884</v>
      </c>
      <c r="K43" s="23">
        <f t="shared" si="5"/>
        <v>274.15172095930745</v>
      </c>
      <c r="L43" s="1">
        <f t="shared" si="6"/>
        <v>1.8821701576279496E-2</v>
      </c>
      <c r="M43" s="2">
        <f t="shared" si="12"/>
        <v>968.1005104214338</v>
      </c>
      <c r="N43" s="2">
        <f t="shared" si="7"/>
        <v>573.55701361285662</v>
      </c>
      <c r="O43" s="24">
        <f t="shared" si="13"/>
        <v>5.075547249151712E-4</v>
      </c>
    </row>
    <row r="44" spans="1:15" x14ac:dyDescent="0.35">
      <c r="A44" s="26">
        <v>41000</v>
      </c>
      <c r="B44" s="23">
        <f t="shared" si="0"/>
        <v>-69.680000000000007</v>
      </c>
      <c r="C44" s="23">
        <v>389.99</v>
      </c>
      <c r="D44" s="23">
        <f t="shared" si="1"/>
        <v>-56.488888888888894</v>
      </c>
      <c r="E44" s="1">
        <f t="shared" si="9"/>
        <v>0.75190390807257035</v>
      </c>
      <c r="F44" s="1">
        <f t="shared" si="35"/>
        <v>0.17636755474550533</v>
      </c>
      <c r="G44" s="2">
        <f t="shared" si="2"/>
        <v>373.23254670353327</v>
      </c>
      <c r="H44" s="24">
        <f t="shared" si="3"/>
        <v>5.5752405197372241E-4</v>
      </c>
      <c r="I44" s="1">
        <f t="shared" si="11"/>
        <v>0.23456129546873314</v>
      </c>
      <c r="J44" s="1">
        <f t="shared" si="36"/>
        <v>0.48431528519006412</v>
      </c>
      <c r="K44" s="23">
        <f t="shared" si="5"/>
        <v>261.2771390114296</v>
      </c>
      <c r="L44" s="1">
        <f t="shared" si="6"/>
        <v>1.7937805832366659E-2</v>
      </c>
      <c r="M44" s="2">
        <f t="shared" si="12"/>
        <v>968.1005104214338</v>
      </c>
      <c r="N44" s="2">
        <f t="shared" si="7"/>
        <v>573.55701361285662</v>
      </c>
      <c r="O44" s="24">
        <f t="shared" si="13"/>
        <v>5.3256477716726329E-4</v>
      </c>
    </row>
    <row r="45" spans="1:15" x14ac:dyDescent="0.35">
      <c r="A45" s="26">
        <v>42000</v>
      </c>
      <c r="B45" s="23">
        <f t="shared" si="0"/>
        <v>-69.680000000000007</v>
      </c>
      <c r="C45" s="23">
        <v>389.99</v>
      </c>
      <c r="D45" s="23">
        <f t="shared" si="1"/>
        <v>-56.488888888888894</v>
      </c>
      <c r="E45" s="1">
        <f t="shared" si="9"/>
        <v>0.75190390807257035</v>
      </c>
      <c r="F45" s="1">
        <f t="shared" si="35"/>
        <v>0.16808506602512682</v>
      </c>
      <c r="G45" s="2">
        <f t="shared" si="2"/>
        <v>355.70497842369383</v>
      </c>
      <c r="H45" s="24">
        <f t="shared" si="3"/>
        <v>5.3134187420029186E-4</v>
      </c>
      <c r="I45" s="1">
        <f t="shared" si="11"/>
        <v>0.22354594014013826</v>
      </c>
      <c r="J45" s="1">
        <f t="shared" si="36"/>
        <v>0.47280645103481644</v>
      </c>
      <c r="K45" s="23">
        <f t="shared" si="5"/>
        <v>249.00716702096017</v>
      </c>
      <c r="L45" s="1">
        <f t="shared" si="6"/>
        <v>1.7095419177466899E-2</v>
      </c>
      <c r="M45" s="2">
        <f t="shared" si="12"/>
        <v>968.1005104214338</v>
      </c>
      <c r="N45" s="2">
        <f t="shared" si="7"/>
        <v>573.55701361285662</v>
      </c>
      <c r="O45" s="24">
        <f t="shared" si="13"/>
        <v>5.5880721419078406E-4</v>
      </c>
    </row>
    <row r="46" spans="1:15" x14ac:dyDescent="0.35">
      <c r="A46" s="26">
        <v>43000</v>
      </c>
      <c r="B46" s="23">
        <f t="shared" si="0"/>
        <v>-69.680000000000007</v>
      </c>
      <c r="C46" s="23">
        <v>389.99</v>
      </c>
      <c r="D46" s="23">
        <f t="shared" si="1"/>
        <v>-56.488888888888894</v>
      </c>
      <c r="E46" s="1">
        <f t="shared" si="9"/>
        <v>0.75190390807257035</v>
      </c>
      <c r="F46" s="1">
        <f t="shared" si="35"/>
        <v>0.16019153557715946</v>
      </c>
      <c r="G46" s="2">
        <f t="shared" si="2"/>
        <v>339.00053141909638</v>
      </c>
      <c r="H46" s="24">
        <f t="shared" si="3"/>
        <v>5.0638925133221935E-4</v>
      </c>
      <c r="I46" s="1">
        <f t="shared" si="11"/>
        <v>0.2130478826580304</v>
      </c>
      <c r="J46" s="1">
        <f t="shared" si="36"/>
        <v>0.46157110249454569</v>
      </c>
      <c r="K46" s="23">
        <f t="shared" si="5"/>
        <v>237.31341158436345</v>
      </c>
      <c r="L46" s="1">
        <f t="shared" si="6"/>
        <v>1.6292592281602587E-2</v>
      </c>
      <c r="M46" s="2">
        <f t="shared" si="12"/>
        <v>968.1005104214338</v>
      </c>
      <c r="N46" s="2">
        <f t="shared" si="7"/>
        <v>573.55701361285662</v>
      </c>
      <c r="O46" s="24">
        <f t="shared" si="13"/>
        <v>5.8634276245721651E-4</v>
      </c>
    </row>
    <row r="47" spans="1:15" x14ac:dyDescent="0.35">
      <c r="A47" s="26">
        <v>44000</v>
      </c>
      <c r="B47" s="23">
        <f t="shared" si="0"/>
        <v>-69.680000000000007</v>
      </c>
      <c r="C47" s="23">
        <v>389.99</v>
      </c>
      <c r="D47" s="23">
        <f t="shared" si="1"/>
        <v>-56.488888888888894</v>
      </c>
      <c r="E47" s="1">
        <f t="shared" si="9"/>
        <v>0.75190390807257035</v>
      </c>
      <c r="F47" s="1">
        <f t="shared" si="35"/>
        <v>0.15266869732931695</v>
      </c>
      <c r="G47" s="2">
        <f t="shared" si="2"/>
        <v>323.08055066224711</v>
      </c>
      <c r="H47" s="24">
        <f t="shared" si="3"/>
        <v>4.8260844160033788E-4</v>
      </c>
      <c r="I47" s="1">
        <f t="shared" si="11"/>
        <v>0.20304282992845152</v>
      </c>
      <c r="J47" s="1">
        <f t="shared" si="36"/>
        <v>0.45060274070233031</v>
      </c>
      <c r="K47" s="23">
        <f t="shared" si="5"/>
        <v>226.16881269553559</v>
      </c>
      <c r="L47" s="1">
        <f t="shared" si="6"/>
        <v>1.5527467358297842E-2</v>
      </c>
      <c r="M47" s="2">
        <f t="shared" si="12"/>
        <v>968.1005104214338</v>
      </c>
      <c r="N47" s="2">
        <f t="shared" si="7"/>
        <v>573.55701361285662</v>
      </c>
      <c r="O47" s="24">
        <f t="shared" si="13"/>
        <v>6.1523514077000199E-4</v>
      </c>
    </row>
    <row r="48" spans="1:15" x14ac:dyDescent="0.35">
      <c r="A48" s="26">
        <v>45000</v>
      </c>
      <c r="B48" s="23">
        <f t="shared" si="0"/>
        <v>-69.680000000000007</v>
      </c>
      <c r="C48" s="23">
        <v>389.99</v>
      </c>
      <c r="D48" s="23">
        <f t="shared" si="1"/>
        <v>-56.488888888888894</v>
      </c>
      <c r="E48" s="1">
        <f t="shared" si="9"/>
        <v>0.75190390807257035</v>
      </c>
      <c r="F48" s="1">
        <f t="shared" si="35"/>
        <v>0.14549914301186007</v>
      </c>
      <c r="G48" s="2">
        <f t="shared" si="2"/>
        <v>307.90819642455847</v>
      </c>
      <c r="H48" s="24">
        <f t="shared" si="3"/>
        <v>4.5994441487681644E-4</v>
      </c>
      <c r="I48" s="1">
        <f t="shared" si="11"/>
        <v>0.19350762969809854</v>
      </c>
      <c r="J48" s="1">
        <f t="shared" si="36"/>
        <v>0.43989502122449459</v>
      </c>
      <c r="K48" s="23">
        <f t="shared" si="5"/>
        <v>215.54758112743212</v>
      </c>
      <c r="L48" s="1">
        <f t="shared" si="6"/>
        <v>1.479827386555637E-2</v>
      </c>
      <c r="M48" s="2">
        <f t="shared" si="12"/>
        <v>968.1005104214338</v>
      </c>
      <c r="N48" s="2">
        <f t="shared" si="7"/>
        <v>573.55701361285662</v>
      </c>
      <c r="O48" s="24">
        <f t="shared" si="13"/>
        <v>6.4555120771342866E-4</v>
      </c>
    </row>
    <row r="49" spans="1:15" x14ac:dyDescent="0.35">
      <c r="A49" s="26">
        <v>46000</v>
      </c>
      <c r="B49" s="23">
        <f t="shared" si="0"/>
        <v>-69.680000000000007</v>
      </c>
      <c r="C49" s="23">
        <v>389.99</v>
      </c>
      <c r="D49" s="23">
        <f t="shared" si="1"/>
        <v>-56.488888888888894</v>
      </c>
      <c r="E49" s="1">
        <f t="shared" si="9"/>
        <v>0.75190390807257035</v>
      </c>
      <c r="F49" s="1">
        <f t="shared" si="35"/>
        <v>0.13866628187388372</v>
      </c>
      <c r="G49" s="2">
        <f t="shared" si="2"/>
        <v>293.44835902715016</v>
      </c>
      <c r="H49" s="24">
        <f t="shared" si="3"/>
        <v>4.3834472533235707E-4</v>
      </c>
      <c r="I49" s="1">
        <f t="shared" si="11"/>
        <v>0.18442021697871036</v>
      </c>
      <c r="J49" s="1">
        <f t="shared" si="36"/>
        <v>0.42944175039079557</v>
      </c>
      <c r="K49" s="23">
        <f t="shared" si="5"/>
        <v>205.42513875434969</v>
      </c>
      <c r="L49" s="1">
        <f t="shared" si="6"/>
        <v>1.4103324408727962E-2</v>
      </c>
      <c r="M49" s="2">
        <f t="shared" si="12"/>
        <v>968.1005104214338</v>
      </c>
      <c r="N49" s="2">
        <f t="shared" si="7"/>
        <v>573.55701361285662</v>
      </c>
      <c r="O49" s="24">
        <f t="shared" si="13"/>
        <v>6.7736111636714554E-4</v>
      </c>
    </row>
    <row r="50" spans="1:15" x14ac:dyDescent="0.35">
      <c r="A50" s="26">
        <v>47000</v>
      </c>
      <c r="B50" s="23">
        <f t="shared" si="0"/>
        <v>-69.680000000000007</v>
      </c>
      <c r="C50" s="23">
        <v>389.99</v>
      </c>
      <c r="D50" s="23">
        <f t="shared" si="1"/>
        <v>-56.488888888888894</v>
      </c>
      <c r="E50" s="1">
        <f t="shared" si="9"/>
        <v>0.75190390807257035</v>
      </c>
      <c r="F50" s="1">
        <f t="shared" si="35"/>
        <v>0.13215430229138886</v>
      </c>
      <c r="G50" s="2">
        <f t="shared" si="2"/>
        <v>279.66757759508289</v>
      </c>
      <c r="H50" s="24">
        <f t="shared" si="3"/>
        <v>4.1775939007360419E-4</v>
      </c>
      <c r="I50" s="1">
        <f t="shared" si="11"/>
        <v>0.17575956298744749</v>
      </c>
      <c r="J50" s="1">
        <f t="shared" si="36"/>
        <v>0.41923688171181633</v>
      </c>
      <c r="K50" s="23">
        <f t="shared" si="5"/>
        <v>195.77806167676459</v>
      </c>
      <c r="L50" s="1">
        <f t="shared" si="6"/>
        <v>1.344101083578262E-2</v>
      </c>
      <c r="M50" s="2">
        <f t="shared" si="12"/>
        <v>968.1005104214338</v>
      </c>
      <c r="N50" s="2">
        <f t="shared" si="7"/>
        <v>573.55701361285662</v>
      </c>
      <c r="O50" s="24">
        <f t="shared" si="13"/>
        <v>7.1073847664432355E-4</v>
      </c>
    </row>
    <row r="51" spans="1:15" x14ac:dyDescent="0.35">
      <c r="A51" s="26">
        <v>48000</v>
      </c>
      <c r="B51" s="23">
        <f t="shared" si="0"/>
        <v>-69.680000000000007</v>
      </c>
      <c r="C51" s="23">
        <v>389.99</v>
      </c>
      <c r="D51" s="23">
        <f t="shared" si="1"/>
        <v>-56.488888888888894</v>
      </c>
      <c r="E51" s="1">
        <f t="shared" si="9"/>
        <v>0.75190390807257035</v>
      </c>
      <c r="F51" s="1">
        <f t="shared" si="35"/>
        <v>0.12594813517829737</v>
      </c>
      <c r="G51" s="2">
        <f t="shared" si="2"/>
        <v>266.53396262701642</v>
      </c>
      <c r="H51" s="24">
        <f t="shared" si="3"/>
        <v>3.9814077347992481E-4</v>
      </c>
      <c r="I51" s="1">
        <f t="shared" si="11"/>
        <v>0.16750562648510856</v>
      </c>
      <c r="J51" s="1">
        <f t="shared" si="36"/>
        <v>0.40927451238149259</v>
      </c>
      <c r="K51" s="23">
        <f t="shared" si="5"/>
        <v>186.58402601711504</v>
      </c>
      <c r="L51" s="1">
        <f t="shared" si="6"/>
        <v>1.2809800515956536E-2</v>
      </c>
      <c r="M51" s="2">
        <f t="shared" si="12"/>
        <v>968.1005104214338</v>
      </c>
      <c r="N51" s="2">
        <f t="shared" si="7"/>
        <v>573.55701361285662</v>
      </c>
      <c r="O51" s="24">
        <f t="shared" si="13"/>
        <v>7.4576052562912512E-4</v>
      </c>
    </row>
    <row r="52" spans="1:15" x14ac:dyDescent="0.35">
      <c r="A52" s="26">
        <v>49000</v>
      </c>
      <c r="B52" s="23">
        <f t="shared" si="0"/>
        <v>-69.680000000000007</v>
      </c>
      <c r="C52" s="23">
        <v>389.99</v>
      </c>
      <c r="D52" s="23">
        <f t="shared" si="1"/>
        <v>-56.488888888888894</v>
      </c>
      <c r="E52" s="1">
        <f t="shared" si="9"/>
        <v>0.75190390807257035</v>
      </c>
      <c r="F52" s="1">
        <f t="shared" si="35"/>
        <v>0.12003341911574136</v>
      </c>
      <c r="G52" s="2">
        <f t="shared" si="2"/>
        <v>254.01712220111418</v>
      </c>
      <c r="H52" s="24">
        <f t="shared" si="3"/>
        <v>3.7944347697190981E-4</v>
      </c>
      <c r="I52" s="1">
        <f t="shared" si="11"/>
        <v>0.15963930739957835</v>
      </c>
      <c r="J52" s="1">
        <f t="shared" si="36"/>
        <v>0.39954887986275017</v>
      </c>
      <c r="K52" s="23">
        <f t="shared" si="5"/>
        <v>177.82175626109597</v>
      </c>
      <c r="L52" s="1">
        <f t="shared" si="6"/>
        <v>1.2208232793158511E-2</v>
      </c>
      <c r="M52" s="2">
        <f t="shared" si="12"/>
        <v>968.1005104214338</v>
      </c>
      <c r="N52" s="2">
        <f t="shared" si="7"/>
        <v>573.55701361285662</v>
      </c>
      <c r="O52" s="24">
        <f t="shared" si="13"/>
        <v>7.8250830630765059E-4</v>
      </c>
    </row>
    <row r="53" spans="1:15" x14ac:dyDescent="0.35">
      <c r="A53" s="26">
        <v>50000</v>
      </c>
      <c r="B53" s="23">
        <f t="shared" si="0"/>
        <v>-69.680000000000007</v>
      </c>
      <c r="C53" s="23">
        <v>389.99</v>
      </c>
      <c r="D53" s="23">
        <f t="shared" si="1"/>
        <v>-56.488888888888894</v>
      </c>
      <c r="E53" s="1">
        <f t="shared" si="9"/>
        <v>0.75190390807257035</v>
      </c>
      <c r="F53" s="1">
        <f t="shared" si="35"/>
        <v>0.11439646711893463</v>
      </c>
      <c r="G53" s="2">
        <f t="shared" si="2"/>
        <v>242.08809164643182</v>
      </c>
      <c r="H53" s="24">
        <f t="shared" si="3"/>
        <v>3.616242339565153E-4</v>
      </c>
      <c r="I53" s="1">
        <f t="shared" si="11"/>
        <v>0.15214240262718998</v>
      </c>
      <c r="J53" s="1">
        <f t="shared" si="36"/>
        <v>0.39005435855427889</v>
      </c>
      <c r="K53" s="23">
        <f t="shared" si="5"/>
        <v>169.47097602492579</v>
      </c>
      <c r="L53" s="1">
        <f t="shared" si="6"/>
        <v>1.1634915605929845E-2</v>
      </c>
      <c r="M53" s="2">
        <f t="shared" si="12"/>
        <v>968.1005104214338</v>
      </c>
      <c r="N53" s="2">
        <f t="shared" si="7"/>
        <v>573.55701361285662</v>
      </c>
      <c r="O53" s="24">
        <f t="shared" si="13"/>
        <v>8.2106685510595237E-4</v>
      </c>
    </row>
    <row r="54" spans="1:15" x14ac:dyDescent="0.35">
      <c r="A54" s="26">
        <v>51000</v>
      </c>
      <c r="B54" s="23">
        <f t="shared" si="0"/>
        <v>-69.680000000000007</v>
      </c>
      <c r="C54" s="23">
        <v>389.99</v>
      </c>
      <c r="D54" s="23">
        <f t="shared" si="1"/>
        <v>-56.488888888888894</v>
      </c>
      <c r="E54" s="1">
        <f t="shared" si="9"/>
        <v>0.75190390807257035</v>
      </c>
      <c r="F54" s="1">
        <f t="shared" si="35"/>
        <v>0.10902423496472159</v>
      </c>
      <c r="G54" s="2">
        <f t="shared" si="2"/>
        <v>230.71926651704311</v>
      </c>
      <c r="H54" s="24">
        <f t="shared" si="3"/>
        <v>3.4464180970573797E-4</v>
      </c>
      <c r="I54" s="1">
        <f t="shared" si="11"/>
        <v>0.14499756390972113</v>
      </c>
      <c r="J54" s="1">
        <f t="shared" si="36"/>
        <v>0.38078545653651363</v>
      </c>
      <c r="K54" s="23">
        <f t="shared" si="5"/>
        <v>161.51236113465632</v>
      </c>
      <c r="L54" s="1">
        <f t="shared" si="6"/>
        <v>1.1088522266136002E-2</v>
      </c>
      <c r="M54" s="2">
        <f t="shared" si="12"/>
        <v>968.1005104214338</v>
      </c>
      <c r="N54" s="2">
        <f t="shared" si="7"/>
        <v>573.55701361285662</v>
      </c>
      <c r="O54" s="24">
        <f t="shared" si="13"/>
        <v>8.6152539866909755E-4</v>
      </c>
    </row>
    <row r="55" spans="1:15" x14ac:dyDescent="0.35">
      <c r="A55" s="26">
        <v>52000</v>
      </c>
      <c r="B55" s="23">
        <f t="shared" si="0"/>
        <v>-69.680000000000007</v>
      </c>
      <c r="C55" s="23">
        <v>389.99</v>
      </c>
      <c r="D55" s="23">
        <f t="shared" si="1"/>
        <v>-56.488888888888894</v>
      </c>
      <c r="E55" s="1">
        <f t="shared" si="9"/>
        <v>0.75190390807257035</v>
      </c>
      <c r="F55" s="1">
        <f t="shared" si="35"/>
        <v>0.10390429100651337</v>
      </c>
      <c r="G55" s="2">
        <f t="shared" si="2"/>
        <v>219.88433871380371</v>
      </c>
      <c r="H55" s="24">
        <f t="shared" si="3"/>
        <v>3.2845690593714174E-4</v>
      </c>
      <c r="I55" s="1">
        <f t="shared" si="11"/>
        <v>0.13818825768955173</v>
      </c>
      <c r="J55" s="1">
        <f t="shared" si="36"/>
        <v>0.37173681239494122</v>
      </c>
      <c r="K55" s="23">
        <f t="shared" si="5"/>
        <v>153.92749490895054</v>
      </c>
      <c r="L55" s="1">
        <f t="shared" si="6"/>
        <v>1.0567788388935845E-2</v>
      </c>
      <c r="M55" s="2">
        <f t="shared" si="12"/>
        <v>968.1005104214338</v>
      </c>
      <c r="N55" s="2">
        <f t="shared" si="7"/>
        <v>573.55701361285662</v>
      </c>
      <c r="O55" s="24">
        <f t="shared" si="13"/>
        <v>9.0397756033662945E-4</v>
      </c>
    </row>
    <row r="56" spans="1:15" x14ac:dyDescent="0.35">
      <c r="A56" s="26">
        <v>53000</v>
      </c>
      <c r="B56" s="23">
        <f t="shared" si="0"/>
        <v>-69.680000000000007</v>
      </c>
      <c r="C56" s="23">
        <v>389.99</v>
      </c>
      <c r="D56" s="23">
        <f t="shared" si="1"/>
        <v>-56.488888888888894</v>
      </c>
      <c r="E56" s="1">
        <f t="shared" si="9"/>
        <v>0.75190390807257035</v>
      </c>
      <c r="F56" s="1">
        <f t="shared" si="35"/>
        <v>9.9024787406760087E-2</v>
      </c>
      <c r="G56" s="2">
        <f t="shared" si="2"/>
        <v>209.55823560593382</v>
      </c>
      <c r="H56" s="24">
        <f t="shared" si="3"/>
        <v>3.1303206987542758E-4</v>
      </c>
      <c r="I56" s="1">
        <f t="shared" si="11"/>
        <v>0.13169872685008396</v>
      </c>
      <c r="J56" s="1">
        <f t="shared" si="36"/>
        <v>0.36290319211889549</v>
      </c>
      <c r="K56" s="23">
        <f t="shared" si="5"/>
        <v>146.69882554184861</v>
      </c>
      <c r="L56" s="1">
        <f t="shared" si="6"/>
        <v>1.0071508966924188E-2</v>
      </c>
      <c r="M56" s="2">
        <f t="shared" si="12"/>
        <v>968.1005104214338</v>
      </c>
      <c r="N56" s="2">
        <f t="shared" si="7"/>
        <v>573.55701361285662</v>
      </c>
      <c r="O56" s="24">
        <f t="shared" si="13"/>
        <v>9.4852157679222696E-4</v>
      </c>
    </row>
    <row r="57" spans="1:15" x14ac:dyDescent="0.35">
      <c r="A57" s="26">
        <v>54000</v>
      </c>
      <c r="B57" s="23">
        <f t="shared" si="0"/>
        <v>-69.680000000000007</v>
      </c>
      <c r="C57" s="23">
        <v>389.99</v>
      </c>
      <c r="D57" s="23">
        <f t="shared" si="1"/>
        <v>-56.488888888888894</v>
      </c>
      <c r="E57" s="1">
        <f t="shared" si="9"/>
        <v>0.75190390807257035</v>
      </c>
      <c r="F57" s="1">
        <f t="shared" si="35"/>
        <v>9.4374432720390103E-2</v>
      </c>
      <c r="G57" s="2">
        <f t="shared" si="2"/>
        <v>199.71706201154393</v>
      </c>
      <c r="H57" s="24">
        <f t="shared" si="3"/>
        <v>2.9833160758461011E-4</v>
      </c>
      <c r="I57" s="1">
        <f t="shared" si="11"/>
        <v>0.12551395425289039</v>
      </c>
      <c r="J57" s="1">
        <f t="shared" si="36"/>
        <v>0.3542794860740463</v>
      </c>
      <c r="K57" s="23">
        <f t="shared" si="5"/>
        <v>139.8096254869042</v>
      </c>
      <c r="L57" s="1">
        <f t="shared" si="6"/>
        <v>9.5985355816770521E-3</v>
      </c>
      <c r="M57" s="2">
        <f t="shared" si="12"/>
        <v>968.1005104214338</v>
      </c>
      <c r="N57" s="2">
        <f t="shared" si="7"/>
        <v>573.55701361285662</v>
      </c>
      <c r="O57" s="24">
        <f t="shared" si="13"/>
        <v>9.9526052538890337E-4</v>
      </c>
    </row>
    <row r="58" spans="1:15" x14ac:dyDescent="0.35">
      <c r="A58" s="26">
        <v>55000</v>
      </c>
      <c r="B58" s="23">
        <f t="shared" si="0"/>
        <v>-69.680000000000007</v>
      </c>
      <c r="C58" s="23">
        <v>389.99</v>
      </c>
      <c r="D58" s="23">
        <f t="shared" si="1"/>
        <v>-56.488888888888894</v>
      </c>
      <c r="E58" s="1">
        <f t="shared" si="9"/>
        <v>0.75190390807257035</v>
      </c>
      <c r="F58" s="1">
        <f t="shared" si="35"/>
        <v>8.9942465765772708E-2</v>
      </c>
      <c r="G58" s="2">
        <f t="shared" si="2"/>
        <v>190.33804490284351</v>
      </c>
      <c r="H58" s="24">
        <f t="shared" si="3"/>
        <v>2.843215013702476E-4</v>
      </c>
      <c r="I58" s="1">
        <f t="shared" si="11"/>
        <v>0.11961962798721332</v>
      </c>
      <c r="J58" s="1">
        <f t="shared" si="36"/>
        <v>0.34586070604683228</v>
      </c>
      <c r="K58" s="23">
        <f t="shared" si="5"/>
        <v>133.2439527487038</v>
      </c>
      <c r="L58" s="1">
        <f t="shared" si="6"/>
        <v>9.1477737462470118E-3</v>
      </c>
      <c r="M58" s="2">
        <f t="shared" si="12"/>
        <v>968.1005104214338</v>
      </c>
      <c r="N58" s="2">
        <f t="shared" si="7"/>
        <v>573.55701361285662</v>
      </c>
      <c r="O58" s="24">
        <f t="shared" si="13"/>
        <v>1.0443025626757812E-3</v>
      </c>
    </row>
    <row r="59" spans="1:15" x14ac:dyDescent="0.35">
      <c r="A59" s="26">
        <v>56000</v>
      </c>
      <c r="B59" s="23">
        <f t="shared" si="0"/>
        <v>-69.680000000000007</v>
      </c>
      <c r="C59" s="23">
        <v>389.99</v>
      </c>
      <c r="D59" s="23">
        <f t="shared" si="1"/>
        <v>-56.488888888888894</v>
      </c>
      <c r="E59" s="1">
        <f t="shared" si="9"/>
        <v>0.75190390807257035</v>
      </c>
      <c r="F59" s="1">
        <f t="shared" si="35"/>
        <v>8.5718630722740052E-2</v>
      </c>
      <c r="G59" s="2">
        <f t="shared" si="2"/>
        <v>181.39948070807694</v>
      </c>
      <c r="H59" s="24">
        <f t="shared" si="3"/>
        <v>2.7096933106058815E-4</v>
      </c>
      <c r="I59" s="1">
        <f t="shared" si="11"/>
        <v>0.11400210825140022</v>
      </c>
      <c r="J59" s="1">
        <f t="shared" si="36"/>
        <v>0.33764198235912579</v>
      </c>
      <c r="K59" s="23">
        <f t="shared" si="5"/>
        <v>126.98661399219471</v>
      </c>
      <c r="L59" s="1">
        <f t="shared" si="6"/>
        <v>8.7181803724589862E-3</v>
      </c>
      <c r="M59" s="2">
        <f t="shared" si="12"/>
        <v>968.1005104214338</v>
      </c>
      <c r="N59" s="2">
        <f t="shared" si="7"/>
        <v>573.55701361285662</v>
      </c>
      <c r="O59" s="24">
        <f t="shared" si="13"/>
        <v>1.095761174678418E-3</v>
      </c>
    </row>
    <row r="60" spans="1:15" x14ac:dyDescent="0.35">
      <c r="A60" s="26">
        <v>57000</v>
      </c>
      <c r="B60" s="23">
        <f t="shared" si="0"/>
        <v>-69.680000000000007</v>
      </c>
      <c r="C60" s="23">
        <v>389.99</v>
      </c>
      <c r="D60" s="23">
        <f t="shared" si="1"/>
        <v>-56.488888888888894</v>
      </c>
      <c r="E60" s="1">
        <f t="shared" si="9"/>
        <v>0.75190390807257035</v>
      </c>
      <c r="F60" s="1">
        <f t="shared" si="35"/>
        <v>8.1693153400043989E-2</v>
      </c>
      <c r="G60" s="2">
        <f t="shared" si="2"/>
        <v>172.88068508824108</v>
      </c>
      <c r="H60" s="24">
        <f t="shared" si="3"/>
        <v>2.5824419898447411E-4</v>
      </c>
      <c r="I60" s="1">
        <f t="shared" si="11"/>
        <v>0.10864839578963771</v>
      </c>
      <c r="J60" s="1">
        <f t="shared" si="36"/>
        <v>0.32961856105146403</v>
      </c>
      <c r="K60" s="23">
        <f t="shared" si="5"/>
        <v>121.02312938445553</v>
      </c>
      <c r="L60" s="1">
        <f t="shared" si="6"/>
        <v>8.3087613571456997E-3</v>
      </c>
      <c r="M60" s="2">
        <f t="shared" si="12"/>
        <v>968.1005104214338</v>
      </c>
      <c r="N60" s="2">
        <f t="shared" si="7"/>
        <v>573.55701361285662</v>
      </c>
      <c r="O60" s="24">
        <f t="shared" si="13"/>
        <v>1.1497554395118324E-3</v>
      </c>
    </row>
    <row r="61" spans="1:15" x14ac:dyDescent="0.35">
      <c r="A61" s="26">
        <v>58000</v>
      </c>
      <c r="B61" s="23">
        <f t="shared" si="0"/>
        <v>-69.680000000000007</v>
      </c>
      <c r="C61" s="23">
        <v>389.99</v>
      </c>
      <c r="D61" s="23">
        <f t="shared" si="1"/>
        <v>-56.488888888888894</v>
      </c>
      <c r="E61" s="1">
        <f t="shared" si="9"/>
        <v>0.75190390807257035</v>
      </c>
      <c r="F61" s="1">
        <f t="shared" si="35"/>
        <v>7.7856718617329151E-2</v>
      </c>
      <c r="G61" s="2">
        <f t="shared" si="2"/>
        <v>164.76194507236428</v>
      </c>
      <c r="H61" s="24">
        <f t="shared" si="3"/>
        <v>2.4611665847239689E-4</v>
      </c>
      <c r="I61" s="1">
        <f t="shared" si="11"/>
        <v>0.10354610181094413</v>
      </c>
      <c r="J61" s="1">
        <f t="shared" si="36"/>
        <v>0.32178580113321364</v>
      </c>
      <c r="K61" s="23">
        <f t="shared" si="5"/>
        <v>115.33969908755046</v>
      </c>
      <c r="L61" s="1">
        <f t="shared" si="6"/>
        <v>7.9185692817371669E-3</v>
      </c>
      <c r="M61" s="2">
        <f t="shared" si="12"/>
        <v>968.1005104214338</v>
      </c>
      <c r="N61" s="2">
        <f t="shared" si="7"/>
        <v>573.55701361285662</v>
      </c>
      <c r="O61" s="24">
        <f t="shared" si="13"/>
        <v>1.2064103029339472E-3</v>
      </c>
    </row>
    <row r="62" spans="1:15" x14ac:dyDescent="0.35">
      <c r="A62" s="26">
        <v>59000</v>
      </c>
      <c r="B62" s="23">
        <f t="shared" si="0"/>
        <v>-69.680000000000007</v>
      </c>
      <c r="C62" s="23">
        <v>389.99</v>
      </c>
      <c r="D62" s="23">
        <f t="shared" si="1"/>
        <v>-56.488888888888894</v>
      </c>
      <c r="E62" s="1">
        <f t="shared" si="9"/>
        <v>0.75190390807257035</v>
      </c>
      <c r="F62" s="1">
        <f t="shared" si="35"/>
        <v>7.420044864928306E-2</v>
      </c>
      <c r="G62" s="2">
        <f t="shared" si="2"/>
        <v>157.02447344058578</v>
      </c>
      <c r="H62" s="24">
        <f t="shared" si="3"/>
        <v>2.3455864571525264E-4</v>
      </c>
      <c r="I62" s="1">
        <f t="shared" si="11"/>
        <v>9.8683419320812427E-2</v>
      </c>
      <c r="J62" s="1">
        <f t="shared" si="36"/>
        <v>0.31413917189808155</v>
      </c>
      <c r="K62" s="23">
        <f t="shared" si="5"/>
        <v>109.92317132493011</v>
      </c>
      <c r="L62" s="1">
        <f t="shared" si="6"/>
        <v>7.5467012198809904E-3</v>
      </c>
      <c r="M62" s="2">
        <f t="shared" si="12"/>
        <v>968.1005104214338</v>
      </c>
      <c r="N62" s="2">
        <f t="shared" si="7"/>
        <v>573.55701361285662</v>
      </c>
      <c r="O62" s="24">
        <f t="shared" si="13"/>
        <v>1.2658568674770768E-3</v>
      </c>
    </row>
    <row r="63" spans="1:15" x14ac:dyDescent="0.35">
      <c r="A63" s="26">
        <v>60000</v>
      </c>
      <c r="B63" s="23">
        <f t="shared" si="0"/>
        <v>-69.680000000000007</v>
      </c>
      <c r="C63" s="23">
        <v>389.99</v>
      </c>
      <c r="D63" s="23">
        <f t="shared" si="1"/>
        <v>-56.488888888888894</v>
      </c>
      <c r="E63" s="1">
        <f t="shared" si="9"/>
        <v>0.75190390807257035</v>
      </c>
      <c r="F63" s="1">
        <f t="shared" si="35"/>
        <v>7.071588268208169E-2</v>
      </c>
      <c r="G63" s="2">
        <f t="shared" si="2"/>
        <v>149.6503652494749</v>
      </c>
      <c r="H63" s="24">
        <f t="shared" si="3"/>
        <v>2.2354341482311288E-4</v>
      </c>
      <c r="I63" s="1">
        <f t="shared" si="11"/>
        <v>9.4049095799162291E-2</v>
      </c>
      <c r="J63" s="1">
        <f t="shared" si="36"/>
        <v>0.30667425030341605</v>
      </c>
      <c r="K63" s="23">
        <f t="shared" si="5"/>
        <v>104.76101194748277</v>
      </c>
      <c r="L63" s="1">
        <f t="shared" si="6"/>
        <v>7.1922966480201106E-3</v>
      </c>
      <c r="M63" s="2">
        <f t="shared" si="12"/>
        <v>968.1005104214338</v>
      </c>
      <c r="N63" s="2">
        <f t="shared" si="7"/>
        <v>573.55701361285662</v>
      </c>
      <c r="O63" s="24">
        <f t="shared" si="13"/>
        <v>1.3282326958265463E-3</v>
      </c>
    </row>
    <row r="64" spans="1:15" x14ac:dyDescent="0.35">
      <c r="L6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3FDE-CC5B-4946-A1FD-6E3AB3EF7C0E}">
  <dimension ref="B2:I17"/>
  <sheetViews>
    <sheetView topLeftCell="B1" workbookViewId="0">
      <selection activeCell="B13" sqref="B13"/>
    </sheetView>
  </sheetViews>
  <sheetFormatPr defaultRowHeight="14.5" x14ac:dyDescent="0.35"/>
  <cols>
    <col min="3" max="3" width="10.26953125" customWidth="1"/>
    <col min="6" max="6" width="9.6328125" customWidth="1"/>
    <col min="7" max="7" width="9.26953125" customWidth="1"/>
  </cols>
  <sheetData>
    <row r="2" spans="2:9" ht="18.5" x14ac:dyDescent="0.45">
      <c r="B2" s="104" t="s">
        <v>41</v>
      </c>
      <c r="C2" s="104"/>
      <c r="D2" s="104"/>
      <c r="E2" s="104"/>
      <c r="F2" s="104"/>
      <c r="G2" s="104"/>
      <c r="H2" s="104"/>
      <c r="I2" s="104"/>
    </row>
    <row r="3" spans="2:9" x14ac:dyDescent="0.35">
      <c r="B3" s="111" t="s">
        <v>42</v>
      </c>
      <c r="C3" s="112"/>
      <c r="D3" s="109" t="s">
        <v>49</v>
      </c>
      <c r="E3" s="110"/>
      <c r="F3" s="44"/>
      <c r="G3" s="46"/>
      <c r="H3" s="46"/>
      <c r="I3" s="45"/>
    </row>
    <row r="4" spans="2:9" x14ac:dyDescent="0.35">
      <c r="B4" s="33" t="s">
        <v>43</v>
      </c>
      <c r="C4" s="34"/>
      <c r="D4" s="42">
        <v>17</v>
      </c>
      <c r="E4" s="38" t="s">
        <v>59</v>
      </c>
      <c r="F4" s="105" t="s">
        <v>50</v>
      </c>
      <c r="G4" s="106"/>
      <c r="H4" s="36">
        <v>370</v>
      </c>
      <c r="I4" s="37" t="s">
        <v>63</v>
      </c>
    </row>
    <row r="5" spans="2:9" x14ac:dyDescent="0.35">
      <c r="B5" s="33" t="s">
        <v>57</v>
      </c>
      <c r="C5" s="34"/>
      <c r="D5" s="42">
        <v>37.799999999999997</v>
      </c>
      <c r="E5" s="38" t="s">
        <v>58</v>
      </c>
      <c r="F5" s="107" t="s">
        <v>51</v>
      </c>
      <c r="G5" s="108"/>
      <c r="H5" s="35">
        <v>960</v>
      </c>
      <c r="I5" s="38" t="s">
        <v>63</v>
      </c>
    </row>
    <row r="6" spans="2:9" x14ac:dyDescent="0.35">
      <c r="B6" s="33"/>
      <c r="C6" s="34"/>
      <c r="D6" s="42"/>
      <c r="E6" s="38"/>
      <c r="F6" s="107" t="s">
        <v>52</v>
      </c>
      <c r="G6" s="108"/>
      <c r="H6" s="35">
        <v>900</v>
      </c>
      <c r="I6" s="38" t="s">
        <v>63</v>
      </c>
    </row>
    <row r="7" spans="2:9" x14ac:dyDescent="0.35">
      <c r="B7" s="33" t="s">
        <v>44</v>
      </c>
      <c r="C7" s="34"/>
      <c r="D7" s="42">
        <v>6</v>
      </c>
      <c r="E7" s="38" t="s">
        <v>60</v>
      </c>
      <c r="F7" s="43"/>
      <c r="G7" s="40"/>
      <c r="H7" s="39"/>
      <c r="I7" s="40"/>
    </row>
    <row r="8" spans="2:9" x14ac:dyDescent="0.35">
      <c r="B8" s="33" t="s">
        <v>45</v>
      </c>
      <c r="C8" s="34"/>
      <c r="D8" s="42">
        <v>-1.5</v>
      </c>
      <c r="E8" s="38" t="s">
        <v>60</v>
      </c>
      <c r="F8" s="41" t="s">
        <v>66</v>
      </c>
      <c r="G8" s="37"/>
      <c r="H8" s="36">
        <v>202</v>
      </c>
      <c r="I8" s="37" t="s">
        <v>63</v>
      </c>
    </row>
    <row r="9" spans="2:9" x14ac:dyDescent="0.35">
      <c r="B9" s="33"/>
      <c r="C9" s="34"/>
      <c r="D9" s="42"/>
      <c r="E9" s="38"/>
      <c r="F9" s="43" t="s">
        <v>67</v>
      </c>
      <c r="G9" s="40"/>
      <c r="H9" s="39">
        <v>1.3</v>
      </c>
      <c r="I9" s="40" t="s">
        <v>68</v>
      </c>
    </row>
    <row r="10" spans="2:9" x14ac:dyDescent="0.35">
      <c r="B10" s="33" t="s">
        <v>46</v>
      </c>
      <c r="C10" s="34"/>
      <c r="D10" s="42">
        <v>300</v>
      </c>
      <c r="E10" s="38" t="s">
        <v>61</v>
      </c>
      <c r="F10" s="41" t="s">
        <v>53</v>
      </c>
      <c r="G10" s="36">
        <v>1.35</v>
      </c>
      <c r="H10" s="36" t="s">
        <v>54</v>
      </c>
      <c r="I10" s="37"/>
    </row>
    <row r="11" spans="2:9" x14ac:dyDescent="0.35">
      <c r="B11" s="33" t="s">
        <v>46</v>
      </c>
      <c r="C11" s="34"/>
      <c r="D11" s="42">
        <v>260</v>
      </c>
      <c r="E11" s="38" t="s">
        <v>2</v>
      </c>
      <c r="F11" s="42" t="s">
        <v>53</v>
      </c>
      <c r="G11" s="35">
        <v>1.6</v>
      </c>
      <c r="H11" s="35" t="s">
        <v>56</v>
      </c>
      <c r="I11" s="38"/>
    </row>
    <row r="12" spans="2:9" x14ac:dyDescent="0.35">
      <c r="B12" s="33" t="s">
        <v>47</v>
      </c>
      <c r="C12" s="34"/>
      <c r="D12" s="42">
        <v>0.55000000000000004</v>
      </c>
      <c r="E12" s="38" t="s">
        <v>62</v>
      </c>
      <c r="F12" s="42" t="s">
        <v>53</v>
      </c>
      <c r="G12" s="35">
        <v>2</v>
      </c>
      <c r="H12" s="35" t="s">
        <v>55</v>
      </c>
      <c r="I12" s="38"/>
    </row>
    <row r="13" spans="2:9" x14ac:dyDescent="0.35">
      <c r="B13" s="48" t="s">
        <v>48</v>
      </c>
      <c r="C13" s="49"/>
      <c r="D13" s="43">
        <v>26000</v>
      </c>
      <c r="E13" s="39" t="s">
        <v>59</v>
      </c>
      <c r="F13" s="43" t="s">
        <v>64</v>
      </c>
      <c r="G13" s="47" t="s">
        <v>65</v>
      </c>
      <c r="H13" s="39"/>
      <c r="I13" s="40"/>
    </row>
    <row r="14" spans="2:9" x14ac:dyDescent="0.35">
      <c r="F14" s="42" t="s">
        <v>163</v>
      </c>
      <c r="G14" s="35">
        <v>0.02</v>
      </c>
    </row>
    <row r="15" spans="2:9" x14ac:dyDescent="0.35">
      <c r="B15" s="50" t="s">
        <v>69</v>
      </c>
      <c r="F15" s="42" t="s">
        <v>120</v>
      </c>
      <c r="G15" s="35">
        <v>6.2E-2</v>
      </c>
    </row>
    <row r="16" spans="2:9" x14ac:dyDescent="0.35">
      <c r="B16" s="50" t="s">
        <v>70</v>
      </c>
    </row>
    <row r="17" spans="2:2" x14ac:dyDescent="0.35">
      <c r="B17" s="50" t="s">
        <v>71</v>
      </c>
    </row>
  </sheetData>
  <mergeCells count="6">
    <mergeCell ref="B2:I2"/>
    <mergeCell ref="F4:G4"/>
    <mergeCell ref="F5:G5"/>
    <mergeCell ref="F6:G6"/>
    <mergeCell ref="D3:E3"/>
    <mergeCell ref="B3:C3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850A-B5AC-479A-BE91-D09D412BCEBF}">
  <dimension ref="A1:AA35"/>
  <sheetViews>
    <sheetView workbookViewId="0">
      <selection activeCell="H3" sqref="H3"/>
    </sheetView>
  </sheetViews>
  <sheetFormatPr defaultRowHeight="14.5" x14ac:dyDescent="0.35"/>
  <cols>
    <col min="6" max="6" width="11.26953125" customWidth="1"/>
    <col min="11" max="12" width="9.90625" customWidth="1"/>
    <col min="13" max="13" width="9.7265625" customWidth="1"/>
  </cols>
  <sheetData>
    <row r="1" spans="1:27" ht="15.5" x14ac:dyDescent="0.35">
      <c r="A1" s="52" t="s">
        <v>72</v>
      </c>
      <c r="B1" s="52" t="s">
        <v>73</v>
      </c>
      <c r="C1" s="52" t="s">
        <v>74</v>
      </c>
      <c r="D1" s="52" t="s">
        <v>17</v>
      </c>
      <c r="E1" s="52" t="s">
        <v>60</v>
      </c>
      <c r="F1" s="52" t="s">
        <v>87</v>
      </c>
      <c r="G1" s="52" t="s">
        <v>75</v>
      </c>
      <c r="H1" s="52" t="s">
        <v>76</v>
      </c>
      <c r="I1" s="52" t="s">
        <v>77</v>
      </c>
      <c r="J1" s="52" t="s">
        <v>78</v>
      </c>
      <c r="K1" s="52" t="s">
        <v>79</v>
      </c>
      <c r="L1" s="52" t="s">
        <v>81</v>
      </c>
      <c r="M1" s="52" t="s">
        <v>82</v>
      </c>
      <c r="O1" s="114" t="s">
        <v>95</v>
      </c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spans="1:27" x14ac:dyDescent="0.35">
      <c r="A2" s="52" t="s">
        <v>83</v>
      </c>
      <c r="B2" s="52"/>
      <c r="C2" s="52" t="s">
        <v>84</v>
      </c>
      <c r="D2" s="52"/>
      <c r="E2" s="52"/>
      <c r="F2" s="52"/>
      <c r="G2" s="52"/>
      <c r="H2" s="52" t="s">
        <v>84</v>
      </c>
      <c r="I2" s="52" t="s">
        <v>86</v>
      </c>
      <c r="J2" s="52" t="s">
        <v>85</v>
      </c>
      <c r="K2" s="52" t="s">
        <v>80</v>
      </c>
      <c r="L2" s="52"/>
      <c r="M2" s="52"/>
      <c r="P2" t="s">
        <v>88</v>
      </c>
      <c r="Q2">
        <v>0</v>
      </c>
      <c r="R2" t="s">
        <v>59</v>
      </c>
      <c r="W2" t="s">
        <v>88</v>
      </c>
      <c r="X2">
        <v>10000</v>
      </c>
      <c r="Y2" t="s">
        <v>59</v>
      </c>
    </row>
    <row r="3" spans="1:27" x14ac:dyDescent="0.35">
      <c r="A3">
        <v>0</v>
      </c>
      <c r="B3" cm="1">
        <f t="array" ref="B3">Linterp($A3,atmos_h, atmos_rho)</f>
        <v>2.3768800000000001E-3</v>
      </c>
      <c r="C3" s="23" cm="1">
        <f t="array" ref="C3">Linterp($A3,atmos_h, atmos_aspeed)</f>
        <v>1116.45</v>
      </c>
      <c r="D3" s="23" cm="1">
        <f t="array" ref="D3">Linterp($A3,atmos_h, atmos_qms)</f>
        <v>1481.4354000000001</v>
      </c>
      <c r="E3" s="23">
        <v>1</v>
      </c>
      <c r="F3" s="23">
        <f>G3*0.5*B3*H3*H3*'BD-5J Details'!$D$5/'BD-5J Details'!$H$6</f>
        <v>1.0000000000000002</v>
      </c>
      <c r="G3">
        <f>'BD-5J Details'!$G$10</f>
        <v>1.35</v>
      </c>
      <c r="H3" s="2">
        <f>SQRT(2*'BD-5J Details'!$H$6*'HW#7 Calculations'!E3/('HW#7 Calculations'!B3*'BD-5J Details'!$D$5*'BD-5J Details'!$G$10))</f>
        <v>121.8203492385378</v>
      </c>
      <c r="I3" s="51">
        <f t="shared" ref="I3:I29" si="0">H3/C3</f>
        <v>0.10911402144165686</v>
      </c>
      <c r="J3" s="2" cm="1">
        <f t="array" ref="J3">$D$3*POWER('BD-5J Details'!$D$11/Linterp($A$3,atmos_h,atmos_vela),2)</f>
        <v>228.89619148156612</v>
      </c>
      <c r="K3" s="1">
        <f t="shared" ref="K3:K29" si="1">SQRT(J3/D3)</f>
        <v>0.39307726374769231</v>
      </c>
      <c r="L3">
        <f>'BD-5J Details'!$D$12</f>
        <v>0.55000000000000004</v>
      </c>
      <c r="M3" s="1">
        <f>MIN(L3,K3)</f>
        <v>0.39307726374769231</v>
      </c>
      <c r="O3" t="s">
        <v>94</v>
      </c>
      <c r="P3" t="s">
        <v>89</v>
      </c>
      <c r="Q3" s="113" t="s">
        <v>90</v>
      </c>
      <c r="R3" s="113" t="s">
        <v>91</v>
      </c>
      <c r="S3" t="s">
        <v>93</v>
      </c>
      <c r="T3" t="s">
        <v>92</v>
      </c>
      <c r="W3" t="s">
        <v>89</v>
      </c>
      <c r="X3" s="113" t="s">
        <v>90</v>
      </c>
      <c r="Y3" s="113" t="s">
        <v>91</v>
      </c>
      <c r="Z3" t="s">
        <v>93</v>
      </c>
      <c r="AA3" t="s">
        <v>92</v>
      </c>
    </row>
    <row r="4" spans="1:27" x14ac:dyDescent="0.35">
      <c r="A4">
        <v>1000</v>
      </c>
      <c r="B4" cm="1">
        <f t="array" ref="B4">Linterp(A4,atmos_h, atmos_rho)</f>
        <v>2.3081009598793535E-3</v>
      </c>
      <c r="C4" s="23" cm="1">
        <f t="array" ref="C4">Linterp($A4,atmos_h, atmos_aspeed)</f>
        <v>1112.6054288919283</v>
      </c>
      <c r="D4" s="23" cm="1">
        <f t="array" ref="D4">Linterp($A4,atmos_h, atmos_qms)</f>
        <v>1428.6770121348045</v>
      </c>
      <c r="E4" s="23">
        <v>1</v>
      </c>
      <c r="F4" s="23">
        <f>G4*0.5*B4*H4*H4*'BD-5J Details'!$D$5/'BD-5J Details'!$H$6</f>
        <v>1.0000000000000002</v>
      </c>
      <c r="G4">
        <f>'BD-5J Details'!$G$10</f>
        <v>1.35</v>
      </c>
      <c r="H4" s="2">
        <f>SQRT(2*'BD-5J Details'!$H$6*'HW#7 Calculations'!E4/('HW#7 Calculations'!B4*'BD-5J Details'!$D$5*'BD-5J Details'!$G$10))</f>
        <v>123.62208599325616</v>
      </c>
      <c r="I4" s="51">
        <f t="shared" si="0"/>
        <v>0.11111044650966201</v>
      </c>
      <c r="J4" s="2" cm="1">
        <f t="array" ref="J4">$D$3*POWER('BD-5J Details'!$D$11/Linterp($A$3,atmos_h,atmos_vela),2)</f>
        <v>228.89619148156612</v>
      </c>
      <c r="K4" s="1">
        <f t="shared" si="1"/>
        <v>0.400269275302581</v>
      </c>
      <c r="L4">
        <f>'BD-5J Details'!$D$12</f>
        <v>0.55000000000000004</v>
      </c>
      <c r="M4" s="1">
        <f t="shared" ref="M4:M29" si="2">MIN(L4,K4)</f>
        <v>0.400269275302581</v>
      </c>
      <c r="P4" t="s">
        <v>84</v>
      </c>
      <c r="Q4" s="113"/>
      <c r="R4" s="113"/>
      <c r="W4" t="s">
        <v>84</v>
      </c>
      <c r="X4" s="113"/>
      <c r="Y4" s="113"/>
    </row>
    <row r="5" spans="1:27" x14ac:dyDescent="0.35">
      <c r="A5">
        <v>2000</v>
      </c>
      <c r="B5" cm="1">
        <f t="array" ref="B5">Linterp(A5,atmos_h, atmos_rho)</f>
        <v>2.240855002695098E-3</v>
      </c>
      <c r="C5" s="23" cm="1">
        <f t="array" ref="C5">Linterp($A5,atmos_h, atmos_aspeed)</f>
        <v>1108.7475268516198</v>
      </c>
      <c r="D5" s="23" cm="1">
        <f t="array" ref="D5">Linterp($A5,atmos_h, atmos_qms)</f>
        <v>1377.4504647488723</v>
      </c>
      <c r="E5" s="23">
        <v>1</v>
      </c>
      <c r="F5" s="23">
        <f>G5*0.5*B5*H5*H5*'BD-5J Details'!$D$5/'BD-5J Details'!$H$6</f>
        <v>1</v>
      </c>
      <c r="G5">
        <f>'BD-5J Details'!$G$10</f>
        <v>1.35</v>
      </c>
      <c r="H5" s="2">
        <f>SQRT(2*'BD-5J Details'!$H$6*'HW#7 Calculations'!E5/('HW#7 Calculations'!B5*'BD-5J Details'!$D$5*'BD-5J Details'!$G$10))</f>
        <v>125.46326650544798</v>
      </c>
      <c r="I5" s="51">
        <f t="shared" si="0"/>
        <v>0.11315765173493671</v>
      </c>
      <c r="J5" s="2" cm="1">
        <f t="array" ref="J5">$D$3*POWER('BD-5J Details'!$D$11/Linterp($A$3,atmos_h,atmos_vela),2)</f>
        <v>228.89619148156612</v>
      </c>
      <c r="K5" s="1">
        <f t="shared" si="1"/>
        <v>0.40764421958241615</v>
      </c>
      <c r="L5">
        <f>'BD-5J Details'!$D$12</f>
        <v>0.55000000000000004</v>
      </c>
      <c r="M5" s="1">
        <f t="shared" si="2"/>
        <v>0.40764421958241615</v>
      </c>
      <c r="O5" cm="1">
        <f t="array" ref="O5">P5/Linterp(Q$2,atmos_h,atmos_aspeed)</f>
        <v>6.4329212448867218E-2</v>
      </c>
      <c r="P5" s="2">
        <f>H3-50</f>
        <v>71.820349238537801</v>
      </c>
      <c r="Q5" cm="1">
        <f t="array" ref="Q5">max_CL*0.5*Linterp($Q$2,atmos_h,atmos_rho)*P5*P5*S/W</f>
        <v>0.34758045293589873</v>
      </c>
      <c r="R5">
        <f>-Q5</f>
        <v>-0.34758045293589873</v>
      </c>
      <c r="S5">
        <f>MIN(max_n,Q5)</f>
        <v>0.34758045293589873</v>
      </c>
      <c r="T5">
        <f t="shared" ref="T5:T24" si="3">MAX(min_n,R5)</f>
        <v>-0.34758045293589873</v>
      </c>
      <c r="V5" cm="1">
        <f t="array" ref="V5">W5/Linterp(X$2,atmos_h,atmos_aspeed)</f>
        <v>6.6605260142106465E-2</v>
      </c>
      <c r="W5" s="2">
        <f>H13-70</f>
        <v>71.75964863341386</v>
      </c>
      <c r="X5" cm="1">
        <f t="array" ref="X5">max_CL*0.5*Linterp($X$2,atmos_h,atmos_rho)*W5*W5*S/W</f>
        <v>0.256244971060343</v>
      </c>
      <c r="Y5">
        <f>-X5</f>
        <v>-0.256244971060343</v>
      </c>
      <c r="Z5">
        <f t="shared" ref="Z5:Z34" si="4">MIN(max_n,X5)</f>
        <v>0.256244971060343</v>
      </c>
      <c r="AA5">
        <f t="shared" ref="AA5:AA34" si="5">MAX(min_n,Y5)</f>
        <v>-0.256244971060343</v>
      </c>
    </row>
    <row r="6" spans="1:27" x14ac:dyDescent="0.35">
      <c r="A6">
        <v>3000</v>
      </c>
      <c r="B6" cm="1">
        <f t="array" ref="B6">Linterp(A6,atmos_h, atmos_rho)</f>
        <v>2.1751182869300663E-3</v>
      </c>
      <c r="C6" s="23" cm="1">
        <f t="array" ref="C6">Linterp($A6,atmos_h, atmos_aspeed)</f>
        <v>1104.8761542360191</v>
      </c>
      <c r="D6" s="23" cm="1">
        <f t="array" ref="D6">Linterp($A6,atmos_h, atmos_qms)</f>
        <v>1327.7214962042053</v>
      </c>
      <c r="E6" s="23">
        <v>1</v>
      </c>
      <c r="F6" s="23">
        <f>G6*0.5*B6*H6*H6*'BD-5J Details'!$D$5/'BD-5J Details'!$H$6</f>
        <v>1.0000000000000002</v>
      </c>
      <c r="G6">
        <f>'BD-5J Details'!$G$10</f>
        <v>1.35</v>
      </c>
      <c r="H6" s="2">
        <f>SQRT(2*'BD-5J Details'!$H$6*'HW#7 Calculations'!E6/('HW#7 Calculations'!B6*'BD-5J Details'!$D$5*'BD-5J Details'!$G$10))</f>
        <v>127.34503835487257</v>
      </c>
      <c r="I6" s="51">
        <f t="shared" si="0"/>
        <v>0.11525729636452055</v>
      </c>
      <c r="J6" s="2" cm="1">
        <f t="array" ref="J6">$D$3*POWER('BD-5J Details'!$D$11/Linterp($A$3,atmos_h,atmos_vela),2)</f>
        <v>228.89619148156612</v>
      </c>
      <c r="K6" s="1">
        <f t="shared" si="1"/>
        <v>0.41520807393344156</v>
      </c>
      <c r="L6">
        <f>'BD-5J Details'!$D$12</f>
        <v>0.55000000000000004</v>
      </c>
      <c r="M6" s="1">
        <f t="shared" si="2"/>
        <v>0.41520807393344156</v>
      </c>
      <c r="O6" cm="1">
        <f t="array" ref="O6">P6/Linterp(Q$2,atmos_h,atmos_aspeed)</f>
        <v>8.1347439866127275E-2</v>
      </c>
      <c r="P6" s="2">
        <f>P5+19</f>
        <v>90.820349238537801</v>
      </c>
      <c r="Q6" cm="1">
        <f t="array" ref="Q6">max_CL*0.5*Linterp($Q$2,atmos_h,atmos_rho)*P6*P6*S/W</f>
        <v>0.55581038204825728</v>
      </c>
      <c r="R6">
        <f t="shared" ref="R6:R24" si="6">-Q6</f>
        <v>-0.55581038204825728</v>
      </c>
      <c r="S6">
        <f t="shared" ref="S6:S24" si="7">MIN(max_n,Q6)</f>
        <v>0.55581038204825728</v>
      </c>
      <c r="T6">
        <f t="shared" si="3"/>
        <v>-0.55581038204825728</v>
      </c>
      <c r="V6" cm="1">
        <f t="array" ref="V6">W6/Linterp(X$2,atmos_h,atmos_aspeed)</f>
        <v>8.0527832523075313E-2</v>
      </c>
      <c r="W6" s="2">
        <f>W5+15</f>
        <v>86.75964863341386</v>
      </c>
      <c r="X6" cm="1">
        <f t="array" ref="X6">max_CL*0.5*Linterp($X$2,atmos_h,atmos_rho)*W6*W6*S/W</f>
        <v>0.37456769013274399</v>
      </c>
      <c r="Y6">
        <f t="shared" ref="Y6:Y34" si="8">-X6</f>
        <v>-0.37456769013274399</v>
      </c>
      <c r="Z6">
        <f t="shared" si="4"/>
        <v>0.37456769013274399</v>
      </c>
      <c r="AA6">
        <f t="shared" si="5"/>
        <v>-0.37456769013274399</v>
      </c>
    </row>
    <row r="7" spans="1:27" x14ac:dyDescent="0.35">
      <c r="A7">
        <v>4000</v>
      </c>
      <c r="B7" cm="1">
        <f t="array" ref="B7">Linterp(A7,atmos_h, atmos_rho)</f>
        <v>2.1108671789392482E-3</v>
      </c>
      <c r="C7" s="23" cm="1">
        <f t="array" ref="C7">Linterp($A7,atmos_h, atmos_aspeed)</f>
        <v>1100.9911689469482</v>
      </c>
      <c r="D7" s="23" cm="1">
        <f t="array" ref="D7">Linterp($A7,atmos_h, atmos_qms)</f>
        <v>1279.4563795175809</v>
      </c>
      <c r="E7" s="23">
        <v>1</v>
      </c>
      <c r="F7" s="23">
        <f>G7*0.5*B7*H7*H7*'BD-5J Details'!$D$5/'BD-5J Details'!$H$6</f>
        <v>1.0000000000000002</v>
      </c>
      <c r="G7">
        <f>'BD-5J Details'!$G$10</f>
        <v>1.35</v>
      </c>
      <c r="H7" s="2">
        <f>SQRT(2*'BD-5J Details'!$H$6*'HW#7 Calculations'!E7/('HW#7 Calculations'!B7*'BD-5J Details'!$D$5*'BD-5J Details'!$G$10))</f>
        <v>129.26859089118219</v>
      </c>
      <c r="I7" s="51">
        <f t="shared" si="0"/>
        <v>0.11741110604440376</v>
      </c>
      <c r="J7" s="2" cm="1">
        <f t="array" ref="J7">$D$3*POWER('BD-5J Details'!$D$11/Linterp($A$3,atmos_h,atmos_vela),2)</f>
        <v>228.89619148156612</v>
      </c>
      <c r="K7" s="1">
        <f t="shared" si="1"/>
        <v>0.42296705490047032</v>
      </c>
      <c r="L7">
        <f>'BD-5J Details'!$D$12</f>
        <v>0.55000000000000004</v>
      </c>
      <c r="M7" s="1">
        <f t="shared" si="2"/>
        <v>0.42296705490047032</v>
      </c>
      <c r="O7" cm="1">
        <f t="array" ref="O7">P7/Linterp(Q$2,atmos_h,atmos_aspeed)</f>
        <v>9.8365667283387345E-2</v>
      </c>
      <c r="P7" s="2">
        <f t="shared" ref="P7:P23" si="9">P6+19</f>
        <v>109.8203492385378</v>
      </c>
      <c r="Q7" cm="1">
        <f t="array" ref="Q7">max_CL*0.5*Linterp($Q$2,atmos_h,atmos_rho)*P7*P7*S/W</f>
        <v>0.81269195481661582</v>
      </c>
      <c r="R7">
        <f t="shared" si="6"/>
        <v>-0.81269195481661582</v>
      </c>
      <c r="S7">
        <f t="shared" si="7"/>
        <v>0.81269195481661582</v>
      </c>
      <c r="T7">
        <f t="shared" si="3"/>
        <v>-0.81269195481661582</v>
      </c>
      <c r="V7" cm="1">
        <f t="array" ref="V7">W7/Linterp(X$2,atmos_h,atmos_aspeed)</f>
        <v>9.4450404904044161E-2</v>
      </c>
      <c r="W7" s="2">
        <f t="shared" ref="W7:W34" si="10">W6+15</f>
        <v>101.75964863341386</v>
      </c>
      <c r="X7" cm="1">
        <f t="array" ref="X7">max_CL*0.5*Linterp($X$2,atmos_h,atmos_rho)*W7*W7*S/W</f>
        <v>0.5152831502365226</v>
      </c>
      <c r="Y7">
        <f t="shared" si="8"/>
        <v>-0.5152831502365226</v>
      </c>
      <c r="Z7">
        <f t="shared" si="4"/>
        <v>0.5152831502365226</v>
      </c>
      <c r="AA7">
        <f t="shared" si="5"/>
        <v>-0.5152831502365226</v>
      </c>
    </row>
    <row r="8" spans="1:27" x14ac:dyDescent="0.35">
      <c r="A8">
        <v>5000</v>
      </c>
      <c r="B8" cm="1">
        <f t="array" ref="B8">Linterp(A8,atmos_h, atmos_rho)</f>
        <v>2.0480782525775574E-3</v>
      </c>
      <c r="C8" s="23" cm="1">
        <f t="array" ref="C8">Linterp($A8,atmos_h, atmos_aspeed)</f>
        <v>1097.0924263702484</v>
      </c>
      <c r="D8" s="23" cm="1">
        <f t="array" ref="D8">Linterp($A8,atmos_h, atmos_qms)</f>
        <v>1232.6219176827112</v>
      </c>
      <c r="E8" s="23">
        <v>1</v>
      </c>
      <c r="F8" s="23">
        <f>G8*0.5*B8*H8*H8*'BD-5J Details'!$D$5/'BD-5J Details'!$H$6</f>
        <v>1.0000000000000002</v>
      </c>
      <c r="G8">
        <f>'BD-5J Details'!$G$10</f>
        <v>1.35</v>
      </c>
      <c r="H8" s="2">
        <f>SQRT(2*'BD-5J Details'!$H$6*'HW#7 Calculations'!E8/('HW#7 Calculations'!B8*'BD-5J Details'!$D$5*'BD-5J Details'!$G$10))</f>
        <v>131.23515706372643</v>
      </c>
      <c r="I8" s="51">
        <f t="shared" si="0"/>
        <v>0.11962087597115267</v>
      </c>
      <c r="J8" s="2" cm="1">
        <f t="array" ref="J8">$D$3*POWER('BD-5J Details'!$D$11/Linterp($A$3,atmos_h,atmos_vela),2)</f>
        <v>228.89619148156612</v>
      </c>
      <c r="K8" s="1">
        <f t="shared" si="1"/>
        <v>0.43092762958044256</v>
      </c>
      <c r="L8">
        <f>'BD-5J Details'!$D$12</f>
        <v>0.55000000000000004</v>
      </c>
      <c r="M8" s="1">
        <f t="shared" si="2"/>
        <v>0.43092762958044256</v>
      </c>
      <c r="O8" cm="1">
        <f t="array" ref="O8">P8/Linterp(Q$2,atmos_h,atmos_aspeed)</f>
        <v>0.1153838947006474</v>
      </c>
      <c r="P8" s="2">
        <f t="shared" si="9"/>
        <v>128.8203492385378</v>
      </c>
      <c r="Q8" cm="1">
        <f t="array" ref="Q8">max_CL*0.5*Linterp($Q$2,atmos_h,atmos_rho)*P8*P8*S/W</f>
        <v>1.1182251712409745</v>
      </c>
      <c r="R8">
        <f t="shared" si="6"/>
        <v>-1.1182251712409745</v>
      </c>
      <c r="S8">
        <f t="shared" si="7"/>
        <v>1.1182251712409745</v>
      </c>
      <c r="T8">
        <f t="shared" si="3"/>
        <v>-1.1182251712409745</v>
      </c>
      <c r="V8" cm="1">
        <f t="array" ref="V8">W8/Linterp(X$2,atmos_h,atmos_aspeed)</f>
        <v>0.10837297728501301</v>
      </c>
      <c r="W8" s="2">
        <f t="shared" si="10"/>
        <v>116.75964863341386</v>
      </c>
      <c r="X8" cm="1">
        <f t="array" ref="X8">max_CL*0.5*Linterp($X$2,atmos_h,atmos_rho)*W8*W8*S/W</f>
        <v>0.67839135137167861</v>
      </c>
      <c r="Y8">
        <f t="shared" si="8"/>
        <v>-0.67839135137167861</v>
      </c>
      <c r="Z8">
        <f t="shared" si="4"/>
        <v>0.67839135137167861</v>
      </c>
      <c r="AA8">
        <f t="shared" si="5"/>
        <v>-0.67839135137167861</v>
      </c>
    </row>
    <row r="9" spans="1:27" x14ac:dyDescent="0.35">
      <c r="A9">
        <v>6000</v>
      </c>
      <c r="B9" cm="1">
        <f t="array" ref="B9">Linterp(A9,atmos_h, atmos_rho)</f>
        <v>1.9867282888256497E-3</v>
      </c>
      <c r="C9" s="23" cm="1">
        <f t="array" ref="C9">Linterp($A9,atmos_h, atmos_aspeed)</f>
        <v>1093.1797793129685</v>
      </c>
      <c r="D9" s="23" cm="1">
        <f t="array" ref="D9">Linterp($A9,atmos_h, atmos_qms)</f>
        <v>1187.1854390008114</v>
      </c>
      <c r="E9" s="23">
        <v>1</v>
      </c>
      <c r="F9" s="23">
        <f>G9*0.5*B9*H9*H9*'BD-5J Details'!$D$5/'BD-5J Details'!$H$6</f>
        <v>1</v>
      </c>
      <c r="G9">
        <f>'BD-5J Details'!$G$10</f>
        <v>1.35</v>
      </c>
      <c r="H9" s="2">
        <f>SQRT(2*'BD-5J Details'!$H$6*'HW#7 Calculations'!E9/('HW#7 Calculations'!B9*'BD-5J Details'!$D$5*'BD-5J Details'!$G$10))</f>
        <v>133.24601534526559</v>
      </c>
      <c r="I9" s="51">
        <f t="shared" si="0"/>
        <v>0.12188847421693695</v>
      </c>
      <c r="J9" s="2" cm="1">
        <f t="array" ref="J9">$D$3*POWER('BD-5J Details'!$D$11/Linterp($A$3,atmos_h,atmos_vela),2)</f>
        <v>228.89619148156612</v>
      </c>
      <c r="K9" s="1">
        <f t="shared" si="1"/>
        <v>0.43909652760065299</v>
      </c>
      <c r="L9">
        <f>'BD-5J Details'!$D$12</f>
        <v>0.55000000000000004</v>
      </c>
      <c r="M9" s="1">
        <f t="shared" si="2"/>
        <v>0.43909652760065299</v>
      </c>
      <c r="O9" cm="1">
        <f t="array" ref="O9">P9/Linterp(Q$2,atmos_h,atmos_aspeed)</f>
        <v>0.13240212211790747</v>
      </c>
      <c r="P9" s="2">
        <f t="shared" si="9"/>
        <v>147.8203492385378</v>
      </c>
      <c r="Q9" cm="1">
        <f t="array" ref="Q9">max_CL*0.5*Linterp($Q$2,atmos_h,atmos_rho)*P9*P9*S/W</f>
        <v>1.4724100313213329</v>
      </c>
      <c r="R9">
        <f t="shared" si="6"/>
        <v>-1.4724100313213329</v>
      </c>
      <c r="S9">
        <f t="shared" si="7"/>
        <v>1.4724100313213329</v>
      </c>
      <c r="T9">
        <f t="shared" si="3"/>
        <v>-1.4724100313213329</v>
      </c>
      <c r="V9" cm="1">
        <f t="array" ref="V9">W9/Linterp(X$2,atmos_h,atmos_aspeed)</f>
        <v>0.12229554966598186</v>
      </c>
      <c r="W9" s="2">
        <f t="shared" si="10"/>
        <v>131.75964863341386</v>
      </c>
      <c r="X9" cm="1">
        <f t="array" ref="X9">max_CL*0.5*Linterp($X$2,atmos_h,atmos_rho)*W9*W9*S/W</f>
        <v>0.86389229353821229</v>
      </c>
      <c r="Y9">
        <f t="shared" si="8"/>
        <v>-0.86389229353821229</v>
      </c>
      <c r="Z9">
        <f t="shared" si="4"/>
        <v>0.86389229353821229</v>
      </c>
      <c r="AA9">
        <f t="shared" si="5"/>
        <v>-0.86389229353821229</v>
      </c>
    </row>
    <row r="10" spans="1:27" x14ac:dyDescent="0.35">
      <c r="A10">
        <v>7000</v>
      </c>
      <c r="B10" cm="1">
        <f t="array" ref="B10">Linterp(A10,atmos_h, atmos_rho)</f>
        <v>1.9267942754137755E-3</v>
      </c>
      <c r="C10" s="23" cm="1">
        <f t="array" ref="C10">Linterp($A10,atmos_h, atmos_aspeed)</f>
        <v>1089.2530779385215</v>
      </c>
      <c r="D10" s="23" cm="1">
        <f t="array" ref="D10">Linterp($A10,atmos_h, atmos_qms)</f>
        <v>1143.1147924196193</v>
      </c>
      <c r="E10" s="23">
        <v>1</v>
      </c>
      <c r="F10" s="23">
        <f>G10*0.5*B10*H10*H10*'BD-5J Details'!$D$5/'BD-5J Details'!$H$6</f>
        <v>1.0000000000000002</v>
      </c>
      <c r="G10">
        <f>'BD-5J Details'!$G$10</f>
        <v>1.35</v>
      </c>
      <c r="H10" s="2">
        <f>SQRT(2*'BD-5J Details'!$H$6*'HW#7 Calculations'!E10/('HW#7 Calculations'!B10*'BD-5J Details'!$D$5*'BD-5J Details'!$G$10))</f>
        <v>135.30249175512856</v>
      </c>
      <c r="I10" s="51">
        <f t="shared" si="0"/>
        <v>0.1242158452388281</v>
      </c>
      <c r="J10" s="2" cm="1">
        <f t="array" ref="J10">$D$3*POWER('BD-5J Details'!$D$11/Linterp($A$3,atmos_h,atmos_vela),2)</f>
        <v>228.89619148156612</v>
      </c>
      <c r="K10" s="1">
        <f t="shared" si="1"/>
        <v>0.44748075376080615</v>
      </c>
      <c r="L10">
        <f>'BD-5J Details'!$D$12</f>
        <v>0.55000000000000004</v>
      </c>
      <c r="M10" s="1">
        <f t="shared" si="2"/>
        <v>0.44748075376080615</v>
      </c>
      <c r="O10" cm="1">
        <f t="array" ref="O10">P10/Linterp(Q$2,atmos_h,atmos_aspeed)</f>
        <v>0.14942034953516753</v>
      </c>
      <c r="P10" s="2">
        <f t="shared" si="9"/>
        <v>166.8203492385378</v>
      </c>
      <c r="Q10" cm="1">
        <f t="array" ref="Q10">max_CL*0.5*Linterp($Q$2,atmos_h,atmos_rho)*P10*P10*S/W</f>
        <v>1.8752465350576917</v>
      </c>
      <c r="R10">
        <f t="shared" si="6"/>
        <v>-1.8752465350576917</v>
      </c>
      <c r="S10">
        <f t="shared" si="7"/>
        <v>1.8752465350576917</v>
      </c>
      <c r="T10">
        <f t="shared" si="3"/>
        <v>-1.5</v>
      </c>
      <c r="V10" cm="1">
        <f t="array" ref="V10">W10/Linterp(X$2,atmos_h,atmos_aspeed)</f>
        <v>0.13621812204695072</v>
      </c>
      <c r="W10" s="2">
        <f t="shared" si="10"/>
        <v>146.75964863341386</v>
      </c>
      <c r="X10" cm="1">
        <f t="array" ref="X10">max_CL*0.5*Linterp($X$2,atmos_h,atmos_rho)*W10*W10*S/W</f>
        <v>1.0717859767361235</v>
      </c>
      <c r="Y10">
        <f t="shared" si="8"/>
        <v>-1.0717859767361235</v>
      </c>
      <c r="Z10">
        <f t="shared" si="4"/>
        <v>1.0717859767361235</v>
      </c>
      <c r="AA10">
        <f t="shared" si="5"/>
        <v>-1.0717859767361235</v>
      </c>
    </row>
    <row r="11" spans="1:27" x14ac:dyDescent="0.35">
      <c r="A11">
        <v>8000</v>
      </c>
      <c r="B11" cm="1">
        <f t="array" ref="B11">Linterp(A11,atmos_h, atmos_rho)</f>
        <v>1.8682534064436197E-3</v>
      </c>
      <c r="C11" s="23" cm="1">
        <f t="array" ref="C11">Linterp($A11,atmos_h, atmos_aspeed)</f>
        <v>1085.3121696997296</v>
      </c>
      <c r="D11" s="23" cm="1">
        <f t="array" ref="D11">Linterp($A11,atmos_h, atmos_qms)</f>
        <v>1100.3783428809038</v>
      </c>
      <c r="E11" s="23">
        <v>1</v>
      </c>
      <c r="F11" s="23">
        <f>G11*0.5*B11*H11*H11*'BD-5J Details'!$D$5/'BD-5J Details'!$H$6</f>
        <v>1.0000000000000002</v>
      </c>
      <c r="G11">
        <f>'BD-5J Details'!$G$10</f>
        <v>1.35</v>
      </c>
      <c r="H11" s="2">
        <f>SQRT(2*'BD-5J Details'!$H$6*'HW#7 Calculations'!E11/('HW#7 Calculations'!B11*'BD-5J Details'!$D$5*'BD-5J Details'!$G$10))</f>
        <v>137.40596198772019</v>
      </c>
      <c r="I11" s="51">
        <f t="shared" si="0"/>
        <v>0.126605013584005</v>
      </c>
      <c r="J11" s="2" cm="1">
        <f t="array" ref="J11">$D$3*POWER('BD-5J Details'!$D$11/Linterp($A$3,atmos_h,atmos_vela),2)</f>
        <v>228.89619148156612</v>
      </c>
      <c r="K11" s="1">
        <f t="shared" si="1"/>
        <v>0.45608760138081517</v>
      </c>
      <c r="L11">
        <f>'BD-5J Details'!$D$12</f>
        <v>0.55000000000000004</v>
      </c>
      <c r="M11" s="1">
        <f t="shared" si="2"/>
        <v>0.45608760138081517</v>
      </c>
      <c r="O11" cm="1">
        <f t="array" ref="O11">P11/Linterp(Q$2,atmos_h,atmos_aspeed)</f>
        <v>0.16643857695242759</v>
      </c>
      <c r="P11" s="2">
        <f t="shared" si="9"/>
        <v>185.8203492385378</v>
      </c>
      <c r="Q11" cm="1">
        <f t="array" ref="Q11">max_CL*0.5*Linterp($Q$2,atmos_h,atmos_rho)*P11*P11*S/W</f>
        <v>2.3267346824500499</v>
      </c>
      <c r="R11">
        <f t="shared" si="6"/>
        <v>-2.3267346824500499</v>
      </c>
      <c r="S11">
        <f t="shared" si="7"/>
        <v>2.3267346824500499</v>
      </c>
      <c r="T11">
        <f t="shared" si="3"/>
        <v>-1.5</v>
      </c>
      <c r="V11" cm="1">
        <f t="array" ref="V11">W11/Linterp(X$2,atmos_h,atmos_aspeed)</f>
        <v>0.15014069442791955</v>
      </c>
      <c r="W11" s="2">
        <f t="shared" si="10"/>
        <v>161.75964863341386</v>
      </c>
      <c r="X11" cm="1">
        <f t="array" ref="X11">max_CL*0.5*Linterp($X$2,atmos_h,atmos_rho)*W11*W11*S/W</f>
        <v>1.3020724009654123</v>
      </c>
      <c r="Y11">
        <f t="shared" si="8"/>
        <v>-1.3020724009654123</v>
      </c>
      <c r="Z11">
        <f t="shared" si="4"/>
        <v>1.3020724009654123</v>
      </c>
      <c r="AA11">
        <f t="shared" si="5"/>
        <v>-1.3020724009654123</v>
      </c>
    </row>
    <row r="12" spans="1:27" x14ac:dyDescent="0.35">
      <c r="A12">
        <v>9000</v>
      </c>
      <c r="B12" cm="1">
        <f t="array" ref="B12">Linterp(A12,atmos_h, atmos_rho)</f>
        <v>1.8110830820081394E-3</v>
      </c>
      <c r="C12" s="23" cm="1">
        <f t="array" ref="C12">Linterp($A12,atmos_h, atmos_aspeed)</f>
        <v>1081.3568992696751</v>
      </c>
      <c r="D12" s="23" cm="1">
        <f t="array" ref="D12">Linterp($A12,atmos_h, atmos_qms)</f>
        <v>1058.9449666765233</v>
      </c>
      <c r="E12" s="23">
        <v>1</v>
      </c>
      <c r="F12" s="23">
        <f>G12*0.5*B12*H12*H12*'BD-5J Details'!$D$5/'BD-5J Details'!$H$6</f>
        <v>1.0000000000000002</v>
      </c>
      <c r="G12">
        <f>'BD-5J Details'!$G$10</f>
        <v>1.35</v>
      </c>
      <c r="H12" s="2">
        <f>SQRT(2*'BD-5J Details'!$H$6*'HW#7 Calculations'!E12/('HW#7 Calculations'!B12*'BD-5J Details'!$D$5*'BD-5J Details'!$G$10))</f>
        <v>139.55785365267906</v>
      </c>
      <c r="I12" s="51">
        <f t="shared" si="0"/>
        <v>0.12905808780332692</v>
      </c>
      <c r="J12" s="2" cm="1">
        <f t="array" ref="J12">$D$3*POWER('BD-5J Details'!$D$11/Linterp($A$3,atmos_h,atmos_vela),2)</f>
        <v>228.89619148156612</v>
      </c>
      <c r="K12" s="1">
        <f t="shared" si="1"/>
        <v>0.46492466639923391</v>
      </c>
      <c r="L12">
        <f>'BD-5J Details'!$D$12</f>
        <v>0.55000000000000004</v>
      </c>
      <c r="M12" s="1">
        <f t="shared" si="2"/>
        <v>0.46492466639923391</v>
      </c>
      <c r="O12" cm="1">
        <f t="array" ref="O12">P12/Linterp(Q$2,atmos_h,atmos_aspeed)</f>
        <v>0.18345680436968767</v>
      </c>
      <c r="P12" s="2">
        <f t="shared" si="9"/>
        <v>204.8203492385378</v>
      </c>
      <c r="Q12" cm="1">
        <f t="array" ref="Q12">max_CL*0.5*Linterp($Q$2,atmos_h,atmos_rho)*P12*P12*S/W</f>
        <v>2.8268744734984081</v>
      </c>
      <c r="R12">
        <f t="shared" si="6"/>
        <v>-2.8268744734984081</v>
      </c>
      <c r="S12">
        <f t="shared" si="7"/>
        <v>2.8268744734984081</v>
      </c>
      <c r="T12">
        <f t="shared" si="3"/>
        <v>-1.5</v>
      </c>
      <c r="V12" cm="1">
        <f t="array" ref="V12">W12/Linterp(X$2,atmos_h,atmos_aspeed)</f>
        <v>0.16406326680888841</v>
      </c>
      <c r="W12" s="2">
        <f t="shared" si="10"/>
        <v>176.75964863341386</v>
      </c>
      <c r="X12" cm="1">
        <f t="array" ref="X12">max_CL*0.5*Linterp($X$2,atmos_h,atmos_rho)*W12*W12*S/W</f>
        <v>1.5547515662260785</v>
      </c>
      <c r="Y12">
        <f t="shared" si="8"/>
        <v>-1.5547515662260785</v>
      </c>
      <c r="Z12">
        <f t="shared" si="4"/>
        <v>1.5547515662260785</v>
      </c>
      <c r="AA12">
        <f t="shared" si="5"/>
        <v>-1.5</v>
      </c>
    </row>
    <row r="13" spans="1:27" x14ac:dyDescent="0.35">
      <c r="A13">
        <v>10000</v>
      </c>
      <c r="B13" cm="1">
        <f t="array" ref="B13">Linterp(A13,atmos_h, atmos_rho)</f>
        <v>1.7552609078093325E-3</v>
      </c>
      <c r="C13" s="23" cm="1">
        <f t="array" ref="C13">Linterp($A13,atmos_h, atmos_aspeed)</f>
        <v>1077.3871084702648</v>
      </c>
      <c r="D13" s="23" cm="1">
        <f t="array" ref="D13">Linterp($A13,atmos_h, atmos_qms)</f>
        <v>1018.7840468130571</v>
      </c>
      <c r="E13" s="23">
        <v>1</v>
      </c>
      <c r="F13" s="23">
        <f>G13*0.5*B13*H13*H13*'BD-5J Details'!$D$5/'BD-5J Details'!$H$6</f>
        <v>1.0000000000000002</v>
      </c>
      <c r="G13">
        <f>'BD-5J Details'!$G$10</f>
        <v>1.35</v>
      </c>
      <c r="H13" s="2">
        <f>SQRT(2*'BD-5J Details'!$H$6*'HW#7 Calculations'!E13/('HW#7 Calculations'!B13*'BD-5J Details'!$D$5*'BD-5J Details'!$G$10))</f>
        <v>141.75964863341386</v>
      </c>
      <c r="I13" s="51">
        <f t="shared" si="0"/>
        <v>0.13157726458662777</v>
      </c>
      <c r="J13" s="2" cm="1">
        <f t="array" ref="J13">$D$3*POWER('BD-5J Details'!$D$11/Linterp($A$3,atmos_h,atmos_vela),2)</f>
        <v>228.89619148156612</v>
      </c>
      <c r="K13" s="1">
        <f t="shared" si="1"/>
        <v>0.47399986227042717</v>
      </c>
      <c r="L13">
        <f>'BD-5J Details'!$D$12</f>
        <v>0.55000000000000004</v>
      </c>
      <c r="M13" s="1">
        <f t="shared" si="2"/>
        <v>0.47399986227042717</v>
      </c>
      <c r="O13" cm="1">
        <f t="array" ref="O13">P13/Linterp(Q$2,atmos_h,atmos_aspeed)</f>
        <v>0.20047503178694773</v>
      </c>
      <c r="P13" s="2">
        <f t="shared" si="9"/>
        <v>223.8203492385378</v>
      </c>
      <c r="Q13" cm="1">
        <f t="array" ref="Q13">max_CL*0.5*Linterp($Q$2,atmos_h,atmos_rho)*P13*P13*S/W</f>
        <v>3.3756659082027674</v>
      </c>
      <c r="R13">
        <f t="shared" si="6"/>
        <v>-3.3756659082027674</v>
      </c>
      <c r="S13">
        <f t="shared" si="7"/>
        <v>3.3756659082027674</v>
      </c>
      <c r="T13">
        <f t="shared" si="3"/>
        <v>-1.5</v>
      </c>
      <c r="V13" cm="1">
        <f t="array" ref="V13">W13/Linterp(X$2,atmos_h,atmos_aspeed)</f>
        <v>0.17798583918985728</v>
      </c>
      <c r="W13" s="2">
        <f t="shared" si="10"/>
        <v>191.75964863341386</v>
      </c>
      <c r="X13" cm="1">
        <f t="array" ref="X13">max_CL*0.5*Linterp($X$2,atmos_h,atmos_rho)*W13*W13*S/W</f>
        <v>1.8298234725181224</v>
      </c>
      <c r="Y13">
        <f t="shared" si="8"/>
        <v>-1.8298234725181224</v>
      </c>
      <c r="Z13">
        <f t="shared" si="4"/>
        <v>1.8298234725181224</v>
      </c>
      <c r="AA13">
        <f t="shared" si="5"/>
        <v>-1.5</v>
      </c>
    </row>
    <row r="14" spans="1:27" x14ac:dyDescent="0.35">
      <c r="A14">
        <v>11000</v>
      </c>
      <c r="B14" cm="1">
        <f t="array" ref="B14">Linterp(A14,atmos_h, atmos_rho)</f>
        <v>1.7007646947739493E-3</v>
      </c>
      <c r="C14" s="23" cm="1">
        <f t="array" ref="C14">Linterp($A14,atmos_h, atmos_aspeed)</f>
        <v>1073.4026361984163</v>
      </c>
      <c r="D14" s="23" cm="1">
        <f t="array" ref="D14">Linterp($A14,atmos_h, atmos_qms)</f>
        <v>979.86546838508127</v>
      </c>
      <c r="E14" s="23">
        <v>1</v>
      </c>
      <c r="F14" s="23">
        <f>G14*0.5*B14*H14*H14*'BD-5J Details'!$D$5/'BD-5J Details'!$H$6</f>
        <v>1</v>
      </c>
      <c r="G14">
        <f>'BD-5J Details'!$G$10</f>
        <v>1.35</v>
      </c>
      <c r="H14" s="2">
        <f>SQRT(2*'BD-5J Details'!$H$6*'HW#7 Calculations'!E14/('HW#7 Calculations'!B14*'BD-5J Details'!$D$5*'BD-5J Details'!$G$10))</f>
        <v>144.01288557120407</v>
      </c>
      <c r="I14" s="51">
        <f t="shared" si="0"/>
        <v>0.13416483313404456</v>
      </c>
      <c r="J14" s="2" cm="1">
        <f t="array" ref="J14">$D$3*POWER('BD-5J Details'!$D$11/Linterp($A$3,atmos_h,atmos_vela),2)</f>
        <v>228.89619148156612</v>
      </c>
      <c r="K14" s="1">
        <f t="shared" si="1"/>
        <v>0.48332143571204061</v>
      </c>
      <c r="L14">
        <f>'BD-5J Details'!$D$12</f>
        <v>0.55000000000000004</v>
      </c>
      <c r="M14" s="1">
        <f t="shared" si="2"/>
        <v>0.48332143571204061</v>
      </c>
      <c r="O14" cm="1">
        <f t="array" ref="O14">P14/Linterp(Q$2,atmos_h,atmos_aspeed)</f>
        <v>0.21749325920420778</v>
      </c>
      <c r="P14" s="2">
        <f t="shared" si="9"/>
        <v>242.8203492385378</v>
      </c>
      <c r="Q14" cm="1">
        <f t="array" ref="Q14">max_CL*0.5*Linterp($Q$2,atmos_h,atmos_rho)*P14*P14*S/W</f>
        <v>3.9731089865631257</v>
      </c>
      <c r="R14">
        <f t="shared" si="6"/>
        <v>-3.9731089865631257</v>
      </c>
      <c r="S14">
        <f t="shared" si="7"/>
        <v>3.9731089865631257</v>
      </c>
      <c r="T14">
        <f t="shared" si="3"/>
        <v>-1.5</v>
      </c>
      <c r="V14" cm="1">
        <f t="array" ref="V14">W14/Linterp(X$2,atmos_h,atmos_aspeed)</f>
        <v>0.19190841157082611</v>
      </c>
      <c r="W14" s="2">
        <f t="shared" si="10"/>
        <v>206.75964863341386</v>
      </c>
      <c r="X14" cm="1">
        <f t="array" ref="X14">max_CL*0.5*Linterp($X$2,atmos_h,atmos_rho)*W14*W14*S/W</f>
        <v>2.1272881198415443</v>
      </c>
      <c r="Y14">
        <f t="shared" si="8"/>
        <v>-2.1272881198415443</v>
      </c>
      <c r="Z14">
        <f t="shared" si="4"/>
        <v>2.1272881198415443</v>
      </c>
      <c r="AA14">
        <f t="shared" si="5"/>
        <v>-1.5</v>
      </c>
    </row>
    <row r="15" spans="1:27" x14ac:dyDescent="0.35">
      <c r="A15">
        <v>12000</v>
      </c>
      <c r="B15" cm="1">
        <f t="array" ref="B15">Linterp(A15,atmos_h, atmos_rho)</f>
        <v>1.6475724586670949E-3</v>
      </c>
      <c r="C15" s="23" cm="1">
        <f t="array" ref="C15">Linterp($A15,atmos_h, atmos_aspeed)</f>
        <v>1069.4033183497709</v>
      </c>
      <c r="D15" s="23" cm="1">
        <f t="array" ref="D15">Linterp($A15,atmos_h, atmos_qms)</f>
        <v>942.15961395711804</v>
      </c>
      <c r="E15" s="23">
        <v>1</v>
      </c>
      <c r="F15" s="23">
        <f>G15*0.5*B15*H15*H15*'BD-5J Details'!$D$5/'BD-5J Details'!$H$6</f>
        <v>1.0000000000000002</v>
      </c>
      <c r="G15">
        <f>'BD-5J Details'!$G$10</f>
        <v>1.35</v>
      </c>
      <c r="H15" s="2">
        <f>SQRT(2*'BD-5J Details'!$H$6*'HW#7 Calculations'!E15/('HW#7 Calculations'!B15*'BD-5J Details'!$D$5*'BD-5J Details'!$G$10))</f>
        <v>146.31916248254566</v>
      </c>
      <c r="I15" s="51">
        <f t="shared" si="0"/>
        <v>0.13682317977873423</v>
      </c>
      <c r="J15" s="2" cm="1">
        <f t="array" ref="J15">$D$3*POWER('BD-5J Details'!$D$11/Linterp($A$3,atmos_h,atmos_vela),2)</f>
        <v>228.89619148156612</v>
      </c>
      <c r="K15" s="1">
        <f t="shared" si="1"/>
        <v>0.49289798335808438</v>
      </c>
      <c r="L15">
        <f>'BD-5J Details'!$D$12</f>
        <v>0.55000000000000004</v>
      </c>
      <c r="M15" s="1">
        <f t="shared" si="2"/>
        <v>0.49289798335808438</v>
      </c>
      <c r="O15" cm="1">
        <f t="array" ref="O15">P15/Linterp(Q$2,atmos_h,atmos_aspeed)</f>
        <v>0.23451148662146787</v>
      </c>
      <c r="P15" s="2">
        <f t="shared" si="9"/>
        <v>261.8203492385378</v>
      </c>
      <c r="Q15" cm="1">
        <f t="array" ref="Q15">max_CL*0.5*Linterp($Q$2,atmos_h,atmos_rho)*P15*P15*S/W</f>
        <v>4.6192037085794837</v>
      </c>
      <c r="R15">
        <f t="shared" si="6"/>
        <v>-4.6192037085794837</v>
      </c>
      <c r="S15">
        <f t="shared" si="7"/>
        <v>4.6192037085794837</v>
      </c>
      <c r="T15">
        <f t="shared" si="3"/>
        <v>-1.5</v>
      </c>
      <c r="V15" cm="1">
        <f t="array" ref="V15">W15/Linterp(X$2,atmos_h,atmos_aspeed)</f>
        <v>0.20583098395179497</v>
      </c>
      <c r="W15" s="2">
        <f t="shared" si="10"/>
        <v>221.75964863341386</v>
      </c>
      <c r="X15" cm="1">
        <f t="array" ref="X15">max_CL*0.5*Linterp($X$2,atmos_h,atmos_rho)*W15*W15*S/W</f>
        <v>2.4471455081963431</v>
      </c>
      <c r="Y15">
        <f t="shared" si="8"/>
        <v>-2.4471455081963431</v>
      </c>
      <c r="Z15">
        <f t="shared" si="4"/>
        <v>2.4471455081963431</v>
      </c>
      <c r="AA15">
        <f t="shared" si="5"/>
        <v>-1.5</v>
      </c>
    </row>
    <row r="16" spans="1:27" x14ac:dyDescent="0.35">
      <c r="A16">
        <v>13000</v>
      </c>
      <c r="B16" cm="1">
        <f t="array" ref="B16">Linterp(A16,atmos_h, atmos_rho)</f>
        <v>1.5956624197037046E-3</v>
      </c>
      <c r="C16" s="23" cm="1">
        <f t="array" ref="C16">Linterp($A16,atmos_h, atmos_aspeed)</f>
        <v>1065.3889877398271</v>
      </c>
      <c r="D16" s="23" cm="1">
        <f t="array" ref="D16">Linterp($A16,atmos_h, atmos_qms)</f>
        <v>905.63735895431057</v>
      </c>
      <c r="E16" s="23">
        <v>1</v>
      </c>
      <c r="F16" s="23">
        <f>G16*0.5*B16*H16*H16*'BD-5J Details'!$D$5/'BD-5J Details'!$H$6</f>
        <v>1</v>
      </c>
      <c r="G16">
        <f>'BD-5J Details'!$G$10</f>
        <v>1.35</v>
      </c>
      <c r="H16" s="2">
        <f>SQRT(2*'BD-5J Details'!$H$6*'HW#7 Calculations'!E16/('HW#7 Calculations'!B16*'BD-5J Details'!$D$5*'BD-5J Details'!$G$10))</f>
        <v>148.68013951795288</v>
      </c>
      <c r="I16" s="51">
        <f t="shared" si="0"/>
        <v>0.13955479287745487</v>
      </c>
      <c r="J16" s="2" cm="1">
        <f t="array" ref="J16">$D$3*POWER('BD-5J Details'!$D$11/Linterp($A$3,atmos_h,atmos_vela),2)</f>
        <v>228.89619148156612</v>
      </c>
      <c r="K16" s="1">
        <f t="shared" si="1"/>
        <v>0.50273846937698341</v>
      </c>
      <c r="L16">
        <f>'BD-5J Details'!$D$12</f>
        <v>0.55000000000000004</v>
      </c>
      <c r="M16" s="1">
        <f t="shared" si="2"/>
        <v>0.50273846937698341</v>
      </c>
      <c r="O16" cm="1">
        <f t="array" ref="O16">P16/Linterp(Q$2,atmos_h,atmos_aspeed)</f>
        <v>0.25152971403872793</v>
      </c>
      <c r="P16" s="2">
        <f t="shared" si="9"/>
        <v>280.8203492385378</v>
      </c>
      <c r="Q16" cm="1">
        <f t="array" ref="Q16">max_CL*0.5*Linterp($Q$2,atmos_h,atmos_rho)*P16*P16*S/W</f>
        <v>5.3139500742518431</v>
      </c>
      <c r="R16">
        <f t="shared" si="6"/>
        <v>-5.3139500742518431</v>
      </c>
      <c r="S16">
        <f t="shared" si="7"/>
        <v>5.3139500742518431</v>
      </c>
      <c r="T16">
        <f t="shared" si="3"/>
        <v>-1.5</v>
      </c>
      <c r="V16" cm="1">
        <f t="array" ref="V16">W16/Linterp(X$2,atmos_h,atmos_aspeed)</f>
        <v>0.21975355633276381</v>
      </c>
      <c r="W16" s="2">
        <f t="shared" si="10"/>
        <v>236.75964863341386</v>
      </c>
      <c r="X16" cm="1">
        <f t="array" ref="X16">max_CL*0.5*Linterp($X$2,atmos_h,atmos_rho)*W16*W16*S/W</f>
        <v>2.7893956375825195</v>
      </c>
      <c r="Y16">
        <f t="shared" si="8"/>
        <v>-2.7893956375825195</v>
      </c>
      <c r="Z16">
        <f t="shared" si="4"/>
        <v>2.7893956375825195</v>
      </c>
      <c r="AA16">
        <f t="shared" si="5"/>
        <v>-1.5</v>
      </c>
    </row>
    <row r="17" spans="1:27" x14ac:dyDescent="0.35">
      <c r="A17">
        <v>14000</v>
      </c>
      <c r="B17" cm="1">
        <f t="array" ref="B17">Linterp(A17,atmos_h, atmos_rho)</f>
        <v>1.5450130021578657E-3</v>
      </c>
      <c r="C17" s="23" cm="1">
        <f t="array" ref="C17">Linterp($A17,atmos_h, atmos_aspeed)</f>
        <v>1061.3594740223903</v>
      </c>
      <c r="D17" s="23" cm="1">
        <f t="array" ref="D17">Linterp($A17,atmos_h, atmos_qms)</f>
        <v>870.27006706187728</v>
      </c>
      <c r="E17" s="23">
        <v>1</v>
      </c>
      <c r="F17" s="23">
        <f>G17*0.5*B17*H17*H17*'BD-5J Details'!$D$5/'BD-5J Details'!$H$6</f>
        <v>1.0000000000000002</v>
      </c>
      <c r="G17">
        <f>'BD-5J Details'!$G$10</f>
        <v>1.35</v>
      </c>
      <c r="H17" s="2">
        <f>SQRT(2*'BD-5J Details'!$H$6*'HW#7 Calculations'!E17/('HW#7 Calculations'!B17*'BD-5J Details'!$D$5*'BD-5J Details'!$G$10))</f>
        <v>151.09754187100054</v>
      </c>
      <c r="I17" s="51">
        <f t="shared" si="0"/>
        <v>0.14236226798670196</v>
      </c>
      <c r="J17" s="2" cm="1">
        <f t="array" ref="J17">$D$3*POWER('BD-5J Details'!$D$11/Linterp($A$3,atmos_h,atmos_vela),2)</f>
        <v>228.89619148156612</v>
      </c>
      <c r="K17" s="1">
        <f t="shared" si="1"/>
        <v>0.51285224411832264</v>
      </c>
      <c r="L17">
        <f>'BD-5J Details'!$D$12</f>
        <v>0.55000000000000004</v>
      </c>
      <c r="M17" s="1">
        <f t="shared" si="2"/>
        <v>0.51285224411832264</v>
      </c>
      <c r="O17" cm="1">
        <f t="array" ref="O17">P17/Linterp(Q$2,atmos_h,atmos_aspeed)</f>
        <v>0.26854794145598798</v>
      </c>
      <c r="P17" s="2">
        <f t="shared" si="9"/>
        <v>299.8203492385378</v>
      </c>
      <c r="Q17" cm="1">
        <f t="array" ref="Q17">max_CL*0.5*Linterp($Q$2,atmos_h,atmos_rho)*P17*P17*S/W</f>
        <v>6.0573480835802016</v>
      </c>
      <c r="R17">
        <f t="shared" si="6"/>
        <v>-6.0573480835802016</v>
      </c>
      <c r="S17">
        <f t="shared" si="7"/>
        <v>6</v>
      </c>
      <c r="T17">
        <f t="shared" si="3"/>
        <v>-1.5</v>
      </c>
      <c r="V17" cm="1">
        <f t="array" ref="V17">W17/Linterp(X$2,atmos_h,atmos_aspeed)</f>
        <v>0.23367612871373267</v>
      </c>
      <c r="W17" s="2">
        <f t="shared" si="10"/>
        <v>251.75964863341386</v>
      </c>
      <c r="X17" cm="1">
        <f t="array" ref="X17">max_CL*0.5*Linterp($X$2,atmos_h,atmos_rho)*W17*W17*S/W</f>
        <v>3.1540385080000739</v>
      </c>
      <c r="Y17">
        <f t="shared" si="8"/>
        <v>-3.1540385080000739</v>
      </c>
      <c r="Z17">
        <f t="shared" si="4"/>
        <v>3.1540385080000739</v>
      </c>
      <c r="AA17">
        <f t="shared" si="5"/>
        <v>-1.5</v>
      </c>
    </row>
    <row r="18" spans="1:27" x14ac:dyDescent="0.35">
      <c r="A18">
        <v>15000</v>
      </c>
      <c r="B18" cm="1">
        <f t="array" ref="B18">Linterp(A18,atmos_h, atmos_rho)</f>
        <v>1.4956028339699532E-3</v>
      </c>
      <c r="C18" s="23" cm="1">
        <f t="array" ref="C18">Linterp($A18,atmos_h, atmos_aspeed)</f>
        <v>1057.3146036052262</v>
      </c>
      <c r="D18" s="23" cm="1">
        <f t="array" ref="D18">Linterp($A18,atmos_h, atmos_qms)</f>
        <v>836.02958563338564</v>
      </c>
      <c r="E18" s="23">
        <v>1</v>
      </c>
      <c r="F18" s="23">
        <f>G18*0.5*B18*H18*H18*'BD-5J Details'!$D$5/'BD-5J Details'!$H$6</f>
        <v>1</v>
      </c>
      <c r="G18">
        <f>'BD-5J Details'!$G$10</f>
        <v>1.35</v>
      </c>
      <c r="H18" s="2">
        <f>SQRT(2*'BD-5J Details'!$H$6*'HW#7 Calculations'!E18/('HW#7 Calculations'!B18*'BD-5J Details'!$D$5*'BD-5J Details'!$G$10))</f>
        <v>153.57316284700815</v>
      </c>
      <c r="I18" s="51">
        <f t="shared" si="0"/>
        <v>0.1452483133434033</v>
      </c>
      <c r="J18" s="2" cm="1">
        <f t="array" ref="J18">$D$3*POWER('BD-5J Details'!$D$11/Linterp($A$3,atmos_h,atmos_vela),2)</f>
        <v>228.89619148156612</v>
      </c>
      <c r="K18" s="1">
        <f t="shared" si="1"/>
        <v>0.52324906385675096</v>
      </c>
      <c r="L18">
        <f>'BD-5J Details'!$D$12</f>
        <v>0.55000000000000004</v>
      </c>
      <c r="M18" s="1">
        <f t="shared" si="2"/>
        <v>0.52324906385675096</v>
      </c>
      <c r="O18" cm="1">
        <f t="array" ref="O18">P18/Linterp(Q$2,atmos_h,atmos_aspeed)</f>
        <v>0.28556616887324804</v>
      </c>
      <c r="P18" s="2">
        <f t="shared" si="9"/>
        <v>318.8203492385378</v>
      </c>
      <c r="Q18" cm="1">
        <f t="array" ref="Q18">max_CL*0.5*Linterp($Q$2,atmos_h,atmos_rho)*P18*P18*S/W</f>
        <v>6.8493977365645593</v>
      </c>
      <c r="R18">
        <f t="shared" si="6"/>
        <v>-6.8493977365645593</v>
      </c>
      <c r="S18">
        <f t="shared" si="7"/>
        <v>6</v>
      </c>
      <c r="T18">
        <f t="shared" si="3"/>
        <v>-1.5</v>
      </c>
      <c r="V18" cm="1">
        <f t="array" ref="V18">W18/Linterp(X$2,atmos_h,atmos_aspeed)</f>
        <v>0.24759870109470153</v>
      </c>
      <c r="W18" s="2">
        <f t="shared" si="10"/>
        <v>266.75964863341386</v>
      </c>
      <c r="X18" cm="1">
        <f t="array" ref="X18">max_CL*0.5*Linterp($X$2,atmos_h,atmos_rho)*W18*W18*S/W</f>
        <v>3.5410741194490054</v>
      </c>
      <c r="Y18">
        <f t="shared" si="8"/>
        <v>-3.5410741194490054</v>
      </c>
      <c r="Z18">
        <f t="shared" si="4"/>
        <v>3.5410741194490054</v>
      </c>
      <c r="AA18">
        <f t="shared" si="5"/>
        <v>-1.5</v>
      </c>
    </row>
    <row r="19" spans="1:27" x14ac:dyDescent="0.35">
      <c r="A19">
        <v>16000</v>
      </c>
      <c r="B19" cm="1">
        <f t="array" ref="B19">Linterp(A19,atmos_h, atmos_rho)</f>
        <v>1.4474107463515583E-3</v>
      </c>
      <c r="C19" s="23" cm="1">
        <f t="array" ref="C19">Linterp($A19,atmos_h, atmos_aspeed)</f>
        <v>1053.2541995627971</v>
      </c>
      <c r="D19" s="23" cm="1">
        <f t="array" ref="D19">Linterp($A19,atmos_h, atmos_qms)</f>
        <v>802.88824110790631</v>
      </c>
      <c r="E19" s="23">
        <v>1</v>
      </c>
      <c r="F19" s="23">
        <f>G19*0.5*B19*H19*H19*'BD-5J Details'!$D$5/'BD-5J Details'!$H$6</f>
        <v>0.99999999999999978</v>
      </c>
      <c r="G19">
        <f>'BD-5J Details'!$G$10</f>
        <v>1.35</v>
      </c>
      <c r="H19" s="2">
        <f>SQRT(2*'BD-5J Details'!$H$6*'HW#7 Calculations'!E19/('HW#7 Calculations'!B19*'BD-5J Details'!$D$5*'BD-5J Details'!$G$10))</f>
        <v>156.10886710143311</v>
      </c>
      <c r="I19" s="51">
        <f t="shared" si="0"/>
        <v>0.14821575567060019</v>
      </c>
      <c r="J19" s="2" cm="1">
        <f t="array" ref="J19">$D$3*POWER('BD-5J Details'!$D$11/Linterp($A$3,atmos_h,atmos_vela),2)</f>
        <v>228.89619148156612</v>
      </c>
      <c r="K19" s="1">
        <f t="shared" si="1"/>
        <v>0.53393911170662633</v>
      </c>
      <c r="L19">
        <f>'BD-5J Details'!$D$12</f>
        <v>0.55000000000000004</v>
      </c>
      <c r="M19" s="1">
        <f t="shared" si="2"/>
        <v>0.53393911170662633</v>
      </c>
      <c r="O19" cm="1">
        <f t="array" ref="O19">P19/Linterp(Q$2,atmos_h,atmos_aspeed)</f>
        <v>0.3025843962905081</v>
      </c>
      <c r="P19" s="2">
        <f t="shared" si="9"/>
        <v>337.8203492385378</v>
      </c>
      <c r="Q19" cm="1">
        <f t="array" ref="Q19">max_CL*0.5*Linterp($Q$2,atmos_h,atmos_rho)*P19*P19*S/W</f>
        <v>7.6900990332049179</v>
      </c>
      <c r="R19">
        <f t="shared" si="6"/>
        <v>-7.6900990332049179</v>
      </c>
      <c r="S19">
        <f t="shared" si="7"/>
        <v>6</v>
      </c>
      <c r="T19">
        <f t="shared" si="3"/>
        <v>-1.5</v>
      </c>
      <c r="V19" cm="1">
        <f t="array" ref="V19">W19/Linterp(X$2,atmos_h,atmos_aspeed)</f>
        <v>0.26152127347567039</v>
      </c>
      <c r="W19" s="2">
        <f t="shared" si="10"/>
        <v>281.75964863341386</v>
      </c>
      <c r="X19" cm="1">
        <f t="array" ref="X19">max_CL*0.5*Linterp($X$2,atmos_h,atmos_rho)*W19*W19*S/W</f>
        <v>3.9505024719293149</v>
      </c>
      <c r="Y19">
        <f t="shared" si="8"/>
        <v>-3.9505024719293149</v>
      </c>
      <c r="Z19">
        <f t="shared" si="4"/>
        <v>3.9505024719293149</v>
      </c>
      <c r="AA19">
        <f t="shared" si="5"/>
        <v>-1.5</v>
      </c>
    </row>
    <row r="20" spans="1:27" x14ac:dyDescent="0.35">
      <c r="A20">
        <v>17000</v>
      </c>
      <c r="B20" cm="1">
        <f t="array" ref="B20">Linterp(A20,atmos_h, atmos_rho)</f>
        <v>1.4004157733881653E-3</v>
      </c>
      <c r="C20" s="23" cm="1">
        <f t="array" ref="C20">Linterp($A20,atmos_h, atmos_aspeed)</f>
        <v>1049.1780815459595</v>
      </c>
      <c r="D20" s="23" cm="1">
        <f t="array" ref="D20">Linterp($A20,atmos_h, atmos_qms)</f>
        <v>770.81883443608046</v>
      </c>
      <c r="E20" s="23">
        <v>1</v>
      </c>
      <c r="F20" s="23">
        <f>G20*0.5*B20*H20*H20*'BD-5J Details'!$D$5/'BD-5J Details'!$H$6</f>
        <v>0.99999999999999978</v>
      </c>
      <c r="G20">
        <f>'BD-5J Details'!$G$10</f>
        <v>1.35</v>
      </c>
      <c r="H20" s="2">
        <f>SQRT(2*'BD-5J Details'!$H$6*'HW#7 Calculations'!E20/('HW#7 Calculations'!B20*'BD-5J Details'!$D$5*'BD-5J Details'!$G$10))</f>
        <v>158.70659405875944</v>
      </c>
      <c r="I20" s="51">
        <f t="shared" si="0"/>
        <v>0.15126754633008149</v>
      </c>
      <c r="J20" s="2" cm="1">
        <f t="array" ref="J20">$D$3*POWER('BD-5J Details'!$D$11/Linterp($A$3,atmos_h,atmos_vela),2)</f>
        <v>228.89619148156612</v>
      </c>
      <c r="K20" s="1">
        <f t="shared" si="1"/>
        <v>0.54493301978654329</v>
      </c>
      <c r="L20">
        <f>'BD-5J Details'!$D$12</f>
        <v>0.55000000000000004</v>
      </c>
      <c r="M20" s="1">
        <f t="shared" si="2"/>
        <v>0.54493301978654329</v>
      </c>
      <c r="O20" cm="1">
        <f t="array" ref="O20">P20/Linterp(Q$2,atmos_h,atmos_aspeed)</f>
        <v>0.31960262370776821</v>
      </c>
      <c r="P20" s="2">
        <f t="shared" si="9"/>
        <v>356.8203492385378</v>
      </c>
      <c r="Q20" cm="1">
        <f t="array" ref="Q20">max_CL*0.5*Linterp($Q$2,atmos_h,atmos_rho)*P20*P20*S/W</f>
        <v>8.5794519735012766</v>
      </c>
      <c r="R20">
        <f t="shared" si="6"/>
        <v>-8.5794519735012766</v>
      </c>
      <c r="S20">
        <f t="shared" si="7"/>
        <v>6</v>
      </c>
      <c r="T20">
        <f t="shared" si="3"/>
        <v>-1.5</v>
      </c>
      <c r="V20" cm="1">
        <f t="array" ref="V20">W20/Linterp(X$2,atmos_h,atmos_aspeed)</f>
        <v>0.27544384585663922</v>
      </c>
      <c r="W20" s="2">
        <f t="shared" si="10"/>
        <v>296.75964863341386</v>
      </c>
      <c r="X20" cm="1">
        <f t="array" ref="X20">max_CL*0.5*Linterp($X$2,atmos_h,atmos_rho)*W20*W20*S/W</f>
        <v>4.3823235654410011</v>
      </c>
      <c r="Y20">
        <f t="shared" si="8"/>
        <v>-4.3823235654410011</v>
      </c>
      <c r="Z20">
        <f t="shared" si="4"/>
        <v>4.3823235654410011</v>
      </c>
      <c r="AA20">
        <f t="shared" si="5"/>
        <v>-1.5</v>
      </c>
    </row>
    <row r="21" spans="1:27" x14ac:dyDescent="0.35">
      <c r="A21">
        <v>18000</v>
      </c>
      <c r="B21" cm="1">
        <f t="array" ref="B21">Linterp(A21,atmos_h, atmos_rho)</f>
        <v>1.3545971516395689E-3</v>
      </c>
      <c r="C21" s="23" cm="1">
        <f t="array" ref="C21">Linterp($A21,atmos_h, atmos_aspeed)</f>
        <v>1045.0860656884925</v>
      </c>
      <c r="D21" s="23" cm="1">
        <f t="array" ref="D21">Linterp($A21,atmos_h, atmos_qms)</f>
        <v>739.79463651517358</v>
      </c>
      <c r="E21" s="23">
        <v>1</v>
      </c>
      <c r="F21" s="23">
        <f>G21*0.5*B21*H21*H21*'BD-5J Details'!$D$5/'BD-5J Details'!$H$6</f>
        <v>1</v>
      </c>
      <c r="G21">
        <f>'BD-5J Details'!$G$10</f>
        <v>1.35</v>
      </c>
      <c r="H21" s="2">
        <f>SQRT(2*'BD-5J Details'!$H$6*'HW#7 Calculations'!E21/('HW#7 Calculations'!B21*'BD-5J Details'!$D$5*'BD-5J Details'!$G$10))</f>
        <v>161.36836152344245</v>
      </c>
      <c r="I21" s="51">
        <f t="shared" si="0"/>
        <v>0.15440676784560758</v>
      </c>
      <c r="J21" s="2" cm="1">
        <f t="array" ref="J21">$D$3*POWER('BD-5J Details'!$D$11/Linterp($A$3,atmos_h,atmos_vela),2)</f>
        <v>228.89619148156612</v>
      </c>
      <c r="K21" s="1">
        <f t="shared" si="1"/>
        <v>0.55624189271888858</v>
      </c>
      <c r="L21">
        <f>'BD-5J Details'!$D$12</f>
        <v>0.55000000000000004</v>
      </c>
      <c r="M21" s="1">
        <f t="shared" si="2"/>
        <v>0.55000000000000004</v>
      </c>
      <c r="O21" cm="1">
        <f t="array" ref="O21">P21/Linterp(Q$2,atmos_h,atmos_aspeed)</f>
        <v>0.33662085112502826</v>
      </c>
      <c r="P21" s="2">
        <f t="shared" si="9"/>
        <v>375.8203492385378</v>
      </c>
      <c r="Q21" cm="1">
        <f t="array" ref="Q21">max_CL*0.5*Linterp($Q$2,atmos_h,atmos_rho)*P21*P21*S/W</f>
        <v>9.5174565574536363</v>
      </c>
      <c r="R21">
        <f t="shared" si="6"/>
        <v>-9.5174565574536363</v>
      </c>
      <c r="S21">
        <f t="shared" si="7"/>
        <v>6</v>
      </c>
      <c r="T21">
        <f t="shared" si="3"/>
        <v>-1.5</v>
      </c>
      <c r="V21" cm="1">
        <f t="array" ref="V21">W21/Linterp(X$2,atmos_h,atmos_aspeed)</f>
        <v>0.28936641823760806</v>
      </c>
      <c r="W21" s="2">
        <f t="shared" si="10"/>
        <v>311.75964863341386</v>
      </c>
      <c r="X21" cm="1">
        <f t="array" ref="X21">max_CL*0.5*Linterp($X$2,atmos_h,atmos_rho)*W21*W21*S/W</f>
        <v>4.8365373999840662</v>
      </c>
      <c r="Y21">
        <f t="shared" si="8"/>
        <v>-4.8365373999840662</v>
      </c>
      <c r="Z21">
        <f t="shared" si="4"/>
        <v>4.8365373999840662</v>
      </c>
      <c r="AA21">
        <f t="shared" si="5"/>
        <v>-1.5</v>
      </c>
    </row>
    <row r="22" spans="1:27" x14ac:dyDescent="0.35">
      <c r="A22">
        <v>19000</v>
      </c>
      <c r="B22" cm="1">
        <f t="array" ref="B22">Linterp(A22,atmos_h, atmos_rho)</f>
        <v>1.3099343197379744E-3</v>
      </c>
      <c r="C22" s="23" cm="1">
        <f t="array" ref="C22">Linterp($A22,atmos_h, atmos_aspeed)</f>
        <v>1040.9779645103174</v>
      </c>
      <c r="D22" s="23" cm="1">
        <f t="array" ref="D22">Linterp($A22,atmos_h, atmos_qms)</f>
        <v>709.78938363314478</v>
      </c>
      <c r="E22" s="23">
        <v>1</v>
      </c>
      <c r="F22" s="23">
        <f>G22*0.5*B22*H22*H22*'BD-5J Details'!$D$5/'BD-5J Details'!$H$6</f>
        <v>1.0000000000000002</v>
      </c>
      <c r="G22">
        <f>'BD-5J Details'!$G$10</f>
        <v>1.35</v>
      </c>
      <c r="H22" s="2">
        <f>SQRT(2*'BD-5J Details'!$H$6*'HW#7 Calculations'!E22/('HW#7 Calculations'!B22*'BD-5J Details'!$D$5*'BD-5J Details'!$G$10))</f>
        <v>164.0962694953113</v>
      </c>
      <c r="I22" s="51">
        <f t="shared" si="0"/>
        <v>0.15763664082217457</v>
      </c>
      <c r="J22" s="2" cm="1">
        <f t="array" ref="J22">$D$3*POWER('BD-5J Details'!$D$11/Linterp($A$3,atmos_h,atmos_vela),2)</f>
        <v>228.89619148156612</v>
      </c>
      <c r="K22" s="1">
        <f t="shared" si="1"/>
        <v>0.56787733255610873</v>
      </c>
      <c r="L22">
        <f>'BD-5J Details'!$D$12</f>
        <v>0.55000000000000004</v>
      </c>
      <c r="M22" s="1">
        <f t="shared" si="2"/>
        <v>0.55000000000000004</v>
      </c>
      <c r="O22" cm="1">
        <f t="array" ref="O22">P22/Linterp(Q$2,atmos_h,atmos_aspeed)</f>
        <v>0.35363907854228832</v>
      </c>
      <c r="P22" s="2">
        <f t="shared" si="9"/>
        <v>394.8203492385378</v>
      </c>
      <c r="Q22" cm="1">
        <f t="array" ref="Q22">max_CL*0.5*Linterp($Q$2,atmos_h,atmos_rho)*P22*P22*S/W</f>
        <v>10.504112785061993</v>
      </c>
      <c r="R22">
        <f t="shared" si="6"/>
        <v>-10.504112785061993</v>
      </c>
      <c r="S22">
        <f t="shared" si="7"/>
        <v>6</v>
      </c>
      <c r="T22">
        <f t="shared" si="3"/>
        <v>-1.5</v>
      </c>
      <c r="V22" cm="1">
        <f t="array" ref="V22">W22/Linterp(X$2,atmos_h,atmos_aspeed)</f>
        <v>0.30328899061857689</v>
      </c>
      <c r="W22" s="2">
        <f t="shared" si="10"/>
        <v>326.75964863341386</v>
      </c>
      <c r="X22" cm="1">
        <f t="array" ref="X22">max_CL*0.5*Linterp($X$2,atmos_h,atmos_rho)*W22*W22*S/W</f>
        <v>5.3131439755585079</v>
      </c>
      <c r="Y22">
        <f t="shared" si="8"/>
        <v>-5.3131439755585079</v>
      </c>
      <c r="Z22">
        <f t="shared" si="4"/>
        <v>5.3131439755585079</v>
      </c>
      <c r="AA22">
        <f t="shared" si="5"/>
        <v>-1.5</v>
      </c>
    </row>
    <row r="23" spans="1:27" x14ac:dyDescent="0.35">
      <c r="A23">
        <v>20000</v>
      </c>
      <c r="B23" cm="1">
        <f t="array" ref="B23">Linterp(A23,atmos_h, atmos_rho)</f>
        <v>1.2664069179837817E-3</v>
      </c>
      <c r="C23" s="23" cm="1">
        <f t="array" ref="C23">Linterp($A23,atmos_h, atmos_aspeed)</f>
        <v>1036.8535868172689</v>
      </c>
      <c r="D23" s="23" cm="1">
        <f t="array" ref="D23">Linterp($A23,atmos_h, atmos_qms)</f>
        <v>680.7772729218035</v>
      </c>
      <c r="E23" s="23">
        <v>1</v>
      </c>
      <c r="F23" s="23">
        <f>G23*0.5*B23*H23*H23*'BD-5J Details'!$D$5/'BD-5J Details'!$H$6</f>
        <v>0.99999999999999978</v>
      </c>
      <c r="G23">
        <f>'BD-5J Details'!$G$10</f>
        <v>1.35</v>
      </c>
      <c r="H23" s="2">
        <f>SQRT(2*'BD-5J Details'!$H$6*'HW#7 Calculations'!E23/('HW#7 Calculations'!B23*'BD-5J Details'!$D$5*'BD-5J Details'!$G$10))</f>
        <v>166.89250420273339</v>
      </c>
      <c r="I23" s="51">
        <f t="shared" si="0"/>
        <v>0.16096053128873042</v>
      </c>
      <c r="J23" s="2" cm="1">
        <f t="array" ref="J23">$D$3*POWER('BD-5J Details'!$D$11/Linterp($A$3,atmos_h,atmos_vela),2)</f>
        <v>228.89619148156612</v>
      </c>
      <c r="K23" s="1">
        <f t="shared" si="1"/>
        <v>0.57985146523244357</v>
      </c>
      <c r="L23">
        <f>'BD-5J Details'!$D$12</f>
        <v>0.55000000000000004</v>
      </c>
      <c r="M23" s="1">
        <f t="shared" si="2"/>
        <v>0.55000000000000004</v>
      </c>
      <c r="O23" cm="1">
        <f t="array" ref="O23">P23/Linterp(Q$2,atmos_h,atmos_aspeed)</f>
        <v>0.37065730595954838</v>
      </c>
      <c r="P23" s="2">
        <f t="shared" si="9"/>
        <v>413.8203492385378</v>
      </c>
      <c r="Q23" cm="1">
        <f t="array" ref="Q23">max_CL*0.5*Linterp($Q$2,atmos_h,atmos_rho)*P23*P23*S/W</f>
        <v>11.539420656326353</v>
      </c>
      <c r="R23">
        <f t="shared" si="6"/>
        <v>-11.539420656326353</v>
      </c>
      <c r="S23">
        <f t="shared" si="7"/>
        <v>6</v>
      </c>
      <c r="T23">
        <f t="shared" si="3"/>
        <v>-1.5</v>
      </c>
      <c r="V23" cm="1">
        <f t="array" ref="V23">W23/Linterp(X$2,atmos_h,atmos_aspeed)</f>
        <v>0.31721156299954578</v>
      </c>
      <c r="W23" s="2">
        <f t="shared" si="10"/>
        <v>341.75964863341386</v>
      </c>
      <c r="X23" cm="1">
        <f t="array" ref="X23">max_CL*0.5*Linterp($X$2,atmos_h,atmos_rho)*W23*W23*S/W</f>
        <v>5.8121432921643281</v>
      </c>
      <c r="Y23">
        <f t="shared" si="8"/>
        <v>-5.8121432921643281</v>
      </c>
      <c r="Z23">
        <f t="shared" si="4"/>
        <v>5.8121432921643281</v>
      </c>
      <c r="AA23">
        <f t="shared" si="5"/>
        <v>-1.5</v>
      </c>
    </row>
    <row r="24" spans="1:27" x14ac:dyDescent="0.35">
      <c r="A24">
        <v>21000</v>
      </c>
      <c r="B24" cm="1">
        <f t="array" ref="B24">Linterp(A24,atmos_h, atmos_rho)</f>
        <v>1.2239947879389809E-3</v>
      </c>
      <c r="C24" s="23" cm="1">
        <f t="array" ref="C24">Linterp($A24,atmos_h, atmos_aspeed)</f>
        <v>1032.7127375972602</v>
      </c>
      <c r="D24" s="23" cm="1">
        <f t="array" ref="D24">Linterp($A24,atmos_h, atmos_qms)</f>
        <v>652.73295781908814</v>
      </c>
      <c r="E24" s="23">
        <v>1</v>
      </c>
      <c r="F24" s="23">
        <f>G24*0.5*B24*H24*H24*'BD-5J Details'!$D$5/'BD-5J Details'!$H$6</f>
        <v>1.0000000000000002</v>
      </c>
      <c r="G24">
        <f>'BD-5J Details'!$G$10</f>
        <v>1.35</v>
      </c>
      <c r="H24" s="2">
        <f>SQRT(2*'BD-5J Details'!$H$6*'HW#7 Calculations'!E24/('HW#7 Calculations'!B24*'BD-5J Details'!$D$5*'BD-5J Details'!$G$10))</f>
        <v>169.75934236783036</v>
      </c>
      <c r="I24" s="51">
        <f t="shared" si="0"/>
        <v>0.16438195849389581</v>
      </c>
      <c r="J24" s="2" cm="1">
        <f t="array" ref="J24">$D$3*POWER('BD-5J Details'!$D$11/Linterp($A$3,atmos_h,atmos_vela),2)</f>
        <v>228.89619148156612</v>
      </c>
      <c r="K24" s="1">
        <f t="shared" si="1"/>
        <v>0.59217696864757907</v>
      </c>
      <c r="L24">
        <f>'BD-5J Details'!$D$12</f>
        <v>0.55000000000000004</v>
      </c>
      <c r="M24" s="1">
        <f t="shared" si="2"/>
        <v>0.55000000000000004</v>
      </c>
      <c r="O24" cm="1">
        <f t="array" ref="O24">P24/Linterp(Q$2,atmos_h,atmos_aspeed)</f>
        <v>0.38767553337680843</v>
      </c>
      <c r="P24" s="2">
        <f>P23+19</f>
        <v>432.8203492385378</v>
      </c>
      <c r="Q24" cm="1">
        <f t="array" ref="Q24">max_CL*0.5*Linterp($Q$2,atmos_h,atmos_rho)*P24*P24*S/W</f>
        <v>12.623380171246712</v>
      </c>
      <c r="R24">
        <f t="shared" si="6"/>
        <v>-12.623380171246712</v>
      </c>
      <c r="S24">
        <f t="shared" si="7"/>
        <v>6</v>
      </c>
      <c r="T24">
        <f t="shared" si="3"/>
        <v>-1.5</v>
      </c>
      <c r="V24" cm="1">
        <f t="array" ref="V24">W24/Linterp(X$2,atmos_h,atmos_aspeed)</f>
        <v>0.33113413538051462</v>
      </c>
      <c r="W24" s="2">
        <f t="shared" si="10"/>
        <v>356.75964863341386</v>
      </c>
      <c r="X24" cm="1">
        <f t="array" ref="X24">max_CL*0.5*Linterp($X$2,atmos_h,atmos_rho)*W24*W24*S/W</f>
        <v>6.333535349801525</v>
      </c>
      <c r="Y24">
        <f t="shared" si="8"/>
        <v>-6.333535349801525</v>
      </c>
      <c r="Z24">
        <f t="shared" si="4"/>
        <v>6</v>
      </c>
      <c r="AA24">
        <f t="shared" si="5"/>
        <v>-1.5</v>
      </c>
    </row>
    <row r="25" spans="1:27" x14ac:dyDescent="0.35">
      <c r="A25">
        <v>22000</v>
      </c>
      <c r="B25" cm="1">
        <f t="array" ref="B25">Linterp(A25,atmos_h, atmos_rho)</f>
        <v>1.1826779720181706E-3</v>
      </c>
      <c r="C25" s="23" cm="1">
        <f t="array" ref="C25">Linterp($A25,atmos_h, atmos_aspeed)</f>
        <v>1028.5552179126889</v>
      </c>
      <c r="D25" s="23" cm="1">
        <f t="array" ref="D25">Linterp($A25,atmos_h, atmos_qms)</f>
        <v>625.63154354053802</v>
      </c>
      <c r="E25" s="23">
        <v>1</v>
      </c>
      <c r="F25" s="23">
        <f>G25*0.5*B25*H25*H25*'BD-5J Details'!$D$5/'BD-5J Details'!$H$6</f>
        <v>1.0000000000000002</v>
      </c>
      <c r="G25">
        <f>'BD-5J Details'!$G$10</f>
        <v>1.35</v>
      </c>
      <c r="H25" s="2">
        <f>SQRT(2*'BD-5J Details'!$H$6*'HW#7 Calculations'!E25/('HW#7 Calculations'!B25*'BD-5J Details'!$D$5*'BD-5J Details'!$G$10))</f>
        <v>172.69915571908987</v>
      </c>
      <c r="I25" s="51">
        <f t="shared" si="0"/>
        <v>0.16790460318655426</v>
      </c>
      <c r="J25" s="2" cm="1">
        <f t="array" ref="J25">$D$3*POWER('BD-5J Details'!$D$11/Linterp($A$3,atmos_h,atmos_vela),2)</f>
        <v>228.89619148156612</v>
      </c>
      <c r="K25" s="1">
        <f t="shared" si="1"/>
        <v>0.60486710249702103</v>
      </c>
      <c r="L25">
        <f>'BD-5J Details'!$D$12</f>
        <v>0.55000000000000004</v>
      </c>
      <c r="M25" s="1">
        <f t="shared" si="2"/>
        <v>0.55000000000000004</v>
      </c>
      <c r="O25" cm="1">
        <f t="array" ref="O25">P25/Linterp(Q$2,atmos_h,atmos_aspeed)</f>
        <v>0.39307726374769231</v>
      </c>
      <c r="P25" s="2">
        <f>K3*C3</f>
        <v>438.85111111111109</v>
      </c>
      <c r="Q25" cm="1">
        <f t="array" ref="Q25">max_CL*0.5*Linterp($Q$2,atmos_h,atmos_rho)*P25*P25*S/W</f>
        <v>12.977610161280563</v>
      </c>
      <c r="R25">
        <f t="shared" ref="R25" si="11">-Q25</f>
        <v>-12.977610161280563</v>
      </c>
      <c r="S25">
        <f t="shared" ref="S25" si="12">MIN(max_n,Q25)</f>
        <v>6</v>
      </c>
      <c r="T25">
        <f t="shared" ref="T25" si="13">MAX(min_n,R25)</f>
        <v>-1.5</v>
      </c>
      <c r="V25" cm="1">
        <f t="array" ref="V25">W25/Linterp(X$2,atmos_h,atmos_aspeed)</f>
        <v>0.34505670776148345</v>
      </c>
      <c r="W25" s="2">
        <f t="shared" si="10"/>
        <v>371.75964863341386</v>
      </c>
      <c r="X25" cm="1">
        <f t="array" ref="X25">max_CL*0.5*Linterp($X$2,atmos_h,atmos_rho)*W25*W25*S/W</f>
        <v>6.8773201484700994</v>
      </c>
      <c r="Y25">
        <f t="shared" si="8"/>
        <v>-6.8773201484700994</v>
      </c>
      <c r="Z25">
        <f t="shared" si="4"/>
        <v>6</v>
      </c>
      <c r="AA25">
        <f t="shared" si="5"/>
        <v>-1.5</v>
      </c>
    </row>
    <row r="26" spans="1:27" x14ac:dyDescent="0.35">
      <c r="A26">
        <v>23000</v>
      </c>
      <c r="B26" cm="1">
        <f t="array" ref="B26">Linterp(A26,atmos_h, atmos_rho)</f>
        <v>1.1424367130771322E-3</v>
      </c>
      <c r="C26" s="23" cm="1">
        <f t="array" ref="C26">Linterp($A26,atmos_h, atmos_aspeed)</f>
        <v>1024.3808247889115</v>
      </c>
      <c r="D26" s="23" cm="1">
        <f t="array" ref="D26">Linterp($A26,atmos_h, atmos_qms)</f>
        <v>599.44858256000066</v>
      </c>
      <c r="E26" s="23">
        <v>1</v>
      </c>
      <c r="F26" s="23">
        <f>G26*0.5*B26*H26*H26*'BD-5J Details'!$D$5/'BD-5J Details'!$H$6</f>
        <v>1.0000000000000002</v>
      </c>
      <c r="G26">
        <f>'BD-5J Details'!$G$10</f>
        <v>1.35</v>
      </c>
      <c r="H26" s="2">
        <f>SQRT(2*'BD-5J Details'!$H$6*'HW#7 Calculations'!E26/('HW#7 Calculations'!B26*'BD-5J Details'!$D$5*'BD-5J Details'!$G$10))</f>
        <v>175.71441576787399</v>
      </c>
      <c r="I26" s="51">
        <f t="shared" si="0"/>
        <v>0.17153231641570652</v>
      </c>
      <c r="J26" s="2" cm="1">
        <f t="array" ref="J26">$D$3*POWER('BD-5J Details'!$D$11/Linterp($A$3,atmos_h,atmos_vela),2)</f>
        <v>228.89619148156612</v>
      </c>
      <c r="K26" s="1">
        <f t="shared" si="1"/>
        <v>0.61793573997308493</v>
      </c>
      <c r="L26">
        <f>'BD-5J Details'!$D$12</f>
        <v>0.55000000000000004</v>
      </c>
      <c r="M26" s="1">
        <f t="shared" si="2"/>
        <v>0.55000000000000004</v>
      </c>
      <c r="P26" s="2"/>
      <c r="V26" cm="1">
        <f t="array" ref="V26">W26/Linterp(X$2,atmos_h,atmos_aspeed)</f>
        <v>0.35897928014245234</v>
      </c>
      <c r="W26" s="2">
        <f t="shared" si="10"/>
        <v>386.75964863341386</v>
      </c>
      <c r="X26" cm="1">
        <f t="array" ref="X26">max_CL*0.5*Linterp($X$2,atmos_h,atmos_rho)*W26*W26*S/W</f>
        <v>7.4434976881700505</v>
      </c>
      <c r="Y26">
        <f t="shared" si="8"/>
        <v>-7.4434976881700505</v>
      </c>
      <c r="Z26">
        <f t="shared" si="4"/>
        <v>6</v>
      </c>
      <c r="AA26">
        <f t="shared" si="5"/>
        <v>-1.5</v>
      </c>
    </row>
    <row r="27" spans="1:27" x14ac:dyDescent="0.35">
      <c r="A27">
        <v>24000</v>
      </c>
      <c r="B27" cm="1">
        <f t="array" ref="B27">Linterp(A27,atmos_h, atmos_rho)</f>
        <v>1.1032514539989387E-3</v>
      </c>
      <c r="C27" s="23" cm="1">
        <f t="array" ref="C27">Linterp($A27,atmos_h, atmos_aspeed)</f>
        <v>1020.1893510986098</v>
      </c>
      <c r="D27" s="23" cm="1">
        <f t="array" ref="D27">Linterp($A27,atmos_h, atmos_qms)</f>
        <v>574.16007009963323</v>
      </c>
      <c r="E27" s="23">
        <v>1</v>
      </c>
      <c r="F27" s="23">
        <f>G27*0.5*B27*H27*H27*'BD-5J Details'!$D$5/'BD-5J Details'!$H$6</f>
        <v>1.0000000000000002</v>
      </c>
      <c r="G27">
        <f>'BD-5J Details'!$G$10</f>
        <v>1.35</v>
      </c>
      <c r="H27" s="2">
        <f>SQRT(2*'BD-5J Details'!$H$6*'HW#7 Calculations'!E27/('HW#7 Calculations'!B27*'BD-5J Details'!$D$5*'BD-5J Details'!$G$10))</f>
        <v>178.80769886656458</v>
      </c>
      <c r="I27" s="51">
        <f t="shared" si="0"/>
        <v>0.17526912888672302</v>
      </c>
      <c r="J27" s="2" cm="1">
        <f t="array" ref="J27">$D$3*POWER('BD-5J Details'!$D$11/Linterp($A$3,atmos_h,atmos_vela),2)</f>
        <v>228.89619148156612</v>
      </c>
      <c r="K27" s="1">
        <f t="shared" si="1"/>
        <v>0.63139740147028145</v>
      </c>
      <c r="L27">
        <f>'BD-5J Details'!$D$12</f>
        <v>0.55000000000000004</v>
      </c>
      <c r="M27" s="1">
        <f t="shared" si="2"/>
        <v>0.55000000000000004</v>
      </c>
      <c r="P27" s="2"/>
      <c r="V27" cm="1">
        <f t="array" ref="V27">W27/Linterp(X$2,atmos_h,atmos_aspeed)</f>
        <v>0.37290185252342117</v>
      </c>
      <c r="W27" s="2">
        <f t="shared" si="10"/>
        <v>401.75964863341386</v>
      </c>
      <c r="X27" cm="1">
        <f t="array" ref="X27">max_CL*0.5*Linterp($X$2,atmos_h,atmos_rho)*W27*W27*S/W</f>
        <v>8.0320679689013819</v>
      </c>
      <c r="Y27">
        <f t="shared" si="8"/>
        <v>-8.0320679689013819</v>
      </c>
      <c r="Z27">
        <f t="shared" si="4"/>
        <v>6</v>
      </c>
      <c r="AA27">
        <f t="shared" si="5"/>
        <v>-1.5</v>
      </c>
    </row>
    <row r="28" spans="1:27" x14ac:dyDescent="0.35">
      <c r="A28">
        <v>25000</v>
      </c>
      <c r="B28" cm="1">
        <f t="array" ref="B28">Linterp(A28,atmos_h, atmos_rho)</f>
        <v>1.0651028372775637E-3</v>
      </c>
      <c r="C28" s="23" cm="1">
        <f t="array" ref="C28">Linterp($A28,atmos_h, atmos_aspeed)</f>
        <v>1015.9805854418648</v>
      </c>
      <c r="D28" s="23" cm="1">
        <f t="array" ref="D28">Linterp($A28,atmos_h, atmos_qms)</f>
        <v>549.74243962925425</v>
      </c>
      <c r="E28" s="23">
        <v>1</v>
      </c>
      <c r="F28" s="23">
        <f>G28*0.5*B28*H28*H28*'BD-5J Details'!$D$5/'BD-5J Details'!$H$6</f>
        <v>1</v>
      </c>
      <c r="G28">
        <f>'BD-5J Details'!$G$10</f>
        <v>1.35</v>
      </c>
      <c r="H28" s="2">
        <f>SQRT(2*'BD-5J Details'!$H$6*'HW#7 Calculations'!E28/('HW#7 Calculations'!B28*'BD-5J Details'!$D$5*'BD-5J Details'!$G$10))</f>
        <v>181.98169156744095</v>
      </c>
      <c r="I28" s="51">
        <f t="shared" si="0"/>
        <v>0.1791192609141192</v>
      </c>
      <c r="J28" s="2" cm="1">
        <f t="array" ref="J28">$D$3*POWER('BD-5J Details'!$D$11/Linterp($A$3,atmos_h,atmos_vela),2)</f>
        <v>228.89619148156612</v>
      </c>
      <c r="K28" s="1">
        <f t="shared" si="1"/>
        <v>0.64526729043964226</v>
      </c>
      <c r="L28">
        <f>'BD-5J Details'!$D$12</f>
        <v>0.55000000000000004</v>
      </c>
      <c r="M28" s="1">
        <f t="shared" si="2"/>
        <v>0.55000000000000004</v>
      </c>
      <c r="P28" s="2"/>
      <c r="V28" cm="1">
        <f t="array" ref="V28">W28/Linterp(X$2,atmos_h,atmos_aspeed)</f>
        <v>0.38682442490439001</v>
      </c>
      <c r="W28" s="2">
        <f t="shared" si="10"/>
        <v>416.75964863341386</v>
      </c>
      <c r="X28" cm="1">
        <f t="array" ref="X28">max_CL*0.5*Linterp($X$2,atmos_h,atmos_rho)*W28*W28*S/W</f>
        <v>8.6430309906640872</v>
      </c>
      <c r="Y28">
        <f t="shared" si="8"/>
        <v>-8.6430309906640872</v>
      </c>
      <c r="Z28">
        <f t="shared" si="4"/>
        <v>6</v>
      </c>
      <c r="AA28">
        <f t="shared" si="5"/>
        <v>-1.5</v>
      </c>
    </row>
    <row r="29" spans="1:27" x14ac:dyDescent="0.35">
      <c r="A29">
        <v>26000</v>
      </c>
      <c r="B29" cm="1">
        <f t="array" ref="B29">Linterp(A29,atmos_h, atmos_rho)</f>
        <v>1.0279717045989522E-3</v>
      </c>
      <c r="C29" s="23" cm="1">
        <f t="array" ref="C29">Linterp($A29,atmos_h, atmos_aspeed)</f>
        <v>1011.7543120217408</v>
      </c>
      <c r="D29" s="23" cm="1">
        <f t="array" ref="D29">Linterp($A29,atmos_h, atmos_qms)</f>
        <v>526.17255837510368</v>
      </c>
      <c r="E29" s="23">
        <v>1</v>
      </c>
      <c r="F29" s="23">
        <f>G29*0.5*B29*H29*H29*'BD-5J Details'!$D$5/'BD-5J Details'!$H$6</f>
        <v>1</v>
      </c>
      <c r="G29">
        <f>'BD-5J Details'!$G$10</f>
        <v>1.35</v>
      </c>
      <c r="H29" s="2">
        <f>SQRT(2*'BD-5J Details'!$H$6*'HW#7 Calculations'!E29/('HW#7 Calculations'!B29*'BD-5J Details'!$D$5*'BD-5J Details'!$G$10))</f>
        <v>185.2391963028486</v>
      </c>
      <c r="I29" s="51">
        <f t="shared" si="0"/>
        <v>0.18308713301423332</v>
      </c>
      <c r="J29" s="2" cm="1">
        <f t="array" ref="J29">$D$3*POWER('BD-5J Details'!$D$11/Linterp($A$3,atmos_h,atmos_vela),2)</f>
        <v>228.89619148156612</v>
      </c>
      <c r="K29" s="1">
        <f t="shared" si="1"/>
        <v>0.65956133154826035</v>
      </c>
      <c r="L29">
        <f>'BD-5J Details'!$D$12</f>
        <v>0.55000000000000004</v>
      </c>
      <c r="M29" s="1">
        <f t="shared" si="2"/>
        <v>0.55000000000000004</v>
      </c>
      <c r="P29" s="2"/>
      <c r="V29" cm="1">
        <f t="array" ref="V29">W29/Linterp(X$2,atmos_h,atmos_aspeed)</f>
        <v>0.4007469972853589</v>
      </c>
      <c r="W29" s="2">
        <f t="shared" si="10"/>
        <v>431.75964863341386</v>
      </c>
      <c r="X29" cm="1">
        <f t="array" ref="X29">max_CL*0.5*Linterp($X$2,atmos_h,atmos_rho)*W29*W29*S/W</f>
        <v>9.2763867534581728</v>
      </c>
      <c r="Y29">
        <f t="shared" si="8"/>
        <v>-9.2763867534581728</v>
      </c>
      <c r="Z29">
        <f t="shared" si="4"/>
        <v>6</v>
      </c>
      <c r="AA29">
        <f t="shared" si="5"/>
        <v>-1.5</v>
      </c>
    </row>
    <row r="30" spans="1:27" x14ac:dyDescent="0.35">
      <c r="V30" cm="1">
        <f t="array" ref="V30">W30/Linterp(X$2,atmos_h,atmos_aspeed)</f>
        <v>0.41466956966632773</v>
      </c>
      <c r="W30" s="2">
        <f t="shared" si="10"/>
        <v>446.75964863341386</v>
      </c>
      <c r="X30" cm="1">
        <f t="array" ref="X30">max_CL*0.5*Linterp($X$2,atmos_h,atmos_rho)*W30*W30*S/W</f>
        <v>9.9321352572836368</v>
      </c>
      <c r="Y30">
        <f t="shared" si="8"/>
        <v>-9.9321352572836368</v>
      </c>
      <c r="Z30">
        <f t="shared" si="4"/>
        <v>6</v>
      </c>
      <c r="AA30">
        <f t="shared" si="5"/>
        <v>-1.5</v>
      </c>
    </row>
    <row r="31" spans="1:27" x14ac:dyDescent="0.35">
      <c r="V31" cm="1">
        <f t="array" ref="V31">W31/Linterp(X$2,atmos_h,atmos_aspeed)</f>
        <v>0.42859214204729656</v>
      </c>
      <c r="W31" s="2">
        <f t="shared" si="10"/>
        <v>461.75964863341386</v>
      </c>
      <c r="X31" cm="1">
        <f t="array" ref="X31">max_CL*0.5*Linterp($X$2,atmos_h,atmos_rho)*W31*W31*S/W</f>
        <v>10.610276502140476</v>
      </c>
      <c r="Y31">
        <f t="shared" si="8"/>
        <v>-10.610276502140476</v>
      </c>
      <c r="Z31">
        <f t="shared" si="4"/>
        <v>6</v>
      </c>
      <c r="AA31">
        <f t="shared" si="5"/>
        <v>-1.5</v>
      </c>
    </row>
    <row r="32" spans="1:27" x14ac:dyDescent="0.35">
      <c r="V32" cm="1">
        <f t="array" ref="V32">W32/Linterp(X$2,atmos_h,atmos_aspeed)</f>
        <v>0.4425147144282654</v>
      </c>
      <c r="W32" s="2">
        <f t="shared" si="10"/>
        <v>476.75964863341386</v>
      </c>
      <c r="X32" cm="1">
        <f t="array" ref="X32">max_CL*0.5*Linterp($X$2,atmos_h,atmos_rho)*W32*W32*S/W</f>
        <v>11.310810488028697</v>
      </c>
      <c r="Y32">
        <f t="shared" si="8"/>
        <v>-11.310810488028697</v>
      </c>
      <c r="Z32">
        <f t="shared" si="4"/>
        <v>6</v>
      </c>
      <c r="AA32">
        <f t="shared" si="5"/>
        <v>-1.5</v>
      </c>
    </row>
    <row r="33" spans="22:27" x14ac:dyDescent="0.35">
      <c r="V33" cm="1">
        <f t="array" ref="V33">W33/Linterp(X$2,atmos_h,atmos_aspeed)</f>
        <v>0.45643728680923429</v>
      </c>
      <c r="W33" s="2">
        <f t="shared" si="10"/>
        <v>491.75964863341386</v>
      </c>
      <c r="X33" cm="1">
        <f t="array" ref="X33">max_CL*0.5*Linterp($X$2,atmos_h,atmos_rho)*W33*W33*S/W</f>
        <v>12.033737214948289</v>
      </c>
      <c r="Y33">
        <f t="shared" si="8"/>
        <v>-12.033737214948289</v>
      </c>
      <c r="Z33">
        <f t="shared" si="4"/>
        <v>6</v>
      </c>
      <c r="AA33">
        <f t="shared" si="5"/>
        <v>-1.5</v>
      </c>
    </row>
    <row r="34" spans="22:27" x14ac:dyDescent="0.35">
      <c r="V34" cm="1">
        <f t="array" ref="V34">W34/Linterp(X$2,atmos_h,atmos_aspeed)</f>
        <v>0.47035985919020312</v>
      </c>
      <c r="W34" s="2">
        <f t="shared" si="10"/>
        <v>506.75964863341386</v>
      </c>
      <c r="X34" cm="1">
        <f t="array" ref="X34">max_CL*0.5*Linterp($X$2,atmos_h,atmos_rho)*W34*W34*S/W</f>
        <v>12.779056682899261</v>
      </c>
      <c r="Y34">
        <f t="shared" si="8"/>
        <v>-12.779056682899261</v>
      </c>
      <c r="Z34">
        <f t="shared" si="4"/>
        <v>6</v>
      </c>
      <c r="AA34">
        <f t="shared" si="5"/>
        <v>-1.5</v>
      </c>
    </row>
    <row r="35" spans="22:27" x14ac:dyDescent="0.35">
      <c r="V35" cm="1">
        <f t="array" ref="V35">W35/Linterp(X$2,atmos_h,atmos_aspeed)</f>
        <v>0.47399986227042717</v>
      </c>
      <c r="W35" s="2" cm="1">
        <f t="array" ref="W35">Linterp(X2,atmos_h,atmos_aspeed)*K13</f>
        <v>510.68134102683933</v>
      </c>
      <c r="X35" cm="1">
        <f t="array" ref="X35">max_CL*0.5*Linterp($X$2,atmos_h,atmos_rho)*W35*W35*S/W</f>
        <v>12.97761016128057</v>
      </c>
      <c r="Y35">
        <f>-X35</f>
        <v>-12.97761016128057</v>
      </c>
      <c r="Z35">
        <f>MIN(max_n,X35)</f>
        <v>6</v>
      </c>
      <c r="AA35">
        <f>MAX(min_n,Y35)</f>
        <v>-1.5</v>
      </c>
    </row>
  </sheetData>
  <mergeCells count="5">
    <mergeCell ref="Q3:Q4"/>
    <mergeCell ref="R3:R4"/>
    <mergeCell ref="X3:X4"/>
    <mergeCell ref="Y3:Y4"/>
    <mergeCell ref="O1:AA1"/>
  </mergeCells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0098-5DF5-4491-A258-DDA74ABE3A54}">
  <dimension ref="A2:AA58"/>
  <sheetViews>
    <sheetView topLeftCell="G23" workbookViewId="0">
      <selection activeCell="I2" sqref="I2:Q53"/>
    </sheetView>
  </sheetViews>
  <sheetFormatPr defaultRowHeight="14.5" x14ac:dyDescent="0.35"/>
  <cols>
    <col min="1" max="1" width="44.1796875" customWidth="1"/>
    <col min="4" max="5" width="13.453125" bestFit="1" customWidth="1"/>
    <col min="6" max="6" width="10.36328125" bestFit="1" customWidth="1"/>
    <col min="7" max="7" width="12" bestFit="1" customWidth="1"/>
  </cols>
  <sheetData>
    <row r="2" spans="1:27" x14ac:dyDescent="0.35">
      <c r="A2" s="57" t="s">
        <v>96</v>
      </c>
      <c r="I2" s="63" t="s">
        <v>72</v>
      </c>
      <c r="J2" s="64">
        <v>0</v>
      </c>
      <c r="K2" s="64" t="s">
        <v>59</v>
      </c>
      <c r="L2" s="64" t="s">
        <v>73</v>
      </c>
      <c r="M2" s="64" cm="1">
        <f t="array" ref="M2">Linterp(J2,atmos_h,atmos_rho)</f>
        <v>2.3768800000000001E-3</v>
      </c>
      <c r="N2" s="64"/>
      <c r="O2" s="64"/>
      <c r="P2" s="64"/>
      <c r="Q2" s="65"/>
      <c r="S2" s="63" t="s">
        <v>72</v>
      </c>
      <c r="T2" s="64">
        <v>10000</v>
      </c>
      <c r="U2" s="64" t="s">
        <v>59</v>
      </c>
      <c r="V2" s="64" t="s">
        <v>73</v>
      </c>
      <c r="W2" s="64" cm="1">
        <f t="array" ref="W2">Linterp(T2,atmos_h,atmos_rho)</f>
        <v>1.7552609078093325E-3</v>
      </c>
      <c r="X2" s="64"/>
      <c r="Y2" s="64"/>
      <c r="Z2" s="64"/>
      <c r="AA2" s="65"/>
    </row>
    <row r="3" spans="1:27" x14ac:dyDescent="0.35">
      <c r="A3" s="57" t="s">
        <v>97</v>
      </c>
      <c r="I3" s="66" t="s">
        <v>123</v>
      </c>
      <c r="J3" s="19" t="s">
        <v>77</v>
      </c>
      <c r="K3" s="19" t="s">
        <v>124</v>
      </c>
      <c r="L3" s="19" t="s">
        <v>125</v>
      </c>
      <c r="M3" s="19" t="s">
        <v>126</v>
      </c>
      <c r="N3" s="19" t="s">
        <v>127</v>
      </c>
      <c r="O3" s="19" t="s">
        <v>128</v>
      </c>
      <c r="P3" s="19" t="s">
        <v>129</v>
      </c>
      <c r="Q3" s="67" t="s">
        <v>130</v>
      </c>
      <c r="S3" s="66" t="s">
        <v>123</v>
      </c>
      <c r="T3" s="19" t="s">
        <v>77</v>
      </c>
      <c r="U3" s="19" t="s">
        <v>124</v>
      </c>
      <c r="V3" s="19" t="s">
        <v>125</v>
      </c>
      <c r="W3" s="19" t="s">
        <v>126</v>
      </c>
      <c r="X3" s="19" t="s">
        <v>127</v>
      </c>
      <c r="Y3" s="19" t="s">
        <v>128</v>
      </c>
      <c r="Z3" s="19" t="s">
        <v>129</v>
      </c>
      <c r="AA3" s="67" t="s">
        <v>130</v>
      </c>
    </row>
    <row r="4" spans="1:27" ht="15" thickBot="1" x14ac:dyDescent="0.4">
      <c r="I4" s="66" t="s">
        <v>84</v>
      </c>
      <c r="J4" s="19"/>
      <c r="K4" s="19"/>
      <c r="L4" s="19"/>
      <c r="M4" s="19" t="s">
        <v>63</v>
      </c>
      <c r="N4" s="19"/>
      <c r="O4" s="19" t="s">
        <v>131</v>
      </c>
      <c r="P4" s="19"/>
      <c r="Q4" s="67" t="s">
        <v>132</v>
      </c>
      <c r="S4" s="66" t="s">
        <v>84</v>
      </c>
      <c r="T4" s="19"/>
      <c r="U4" s="19"/>
      <c r="V4" s="19"/>
      <c r="W4" s="19" t="s">
        <v>63</v>
      </c>
      <c r="X4" s="19"/>
      <c r="Y4" s="19"/>
      <c r="Z4" s="19"/>
      <c r="AA4" s="67" t="s">
        <v>132</v>
      </c>
    </row>
    <row r="5" spans="1:27" ht="16" thickBot="1" x14ac:dyDescent="0.4">
      <c r="A5" s="53" t="s">
        <v>98</v>
      </c>
      <c r="B5" s="54" t="s">
        <v>99</v>
      </c>
      <c r="C5" s="54" t="s">
        <v>100</v>
      </c>
      <c r="D5" s="54" t="s">
        <v>101</v>
      </c>
      <c r="E5" s="54" t="s">
        <v>102</v>
      </c>
      <c r="I5" s="68">
        <f>'HW#7 Calculations'!$H3 - 70</f>
        <v>51.820349238537801</v>
      </c>
      <c r="J5" cm="1">
        <f t="array" ref="J5">I5/Linterp(J$2,atmos_h,atmos_aspeed)</f>
        <v>4.6415288851751356E-2</v>
      </c>
      <c r="K5" cm="1">
        <f t="array" ref="K5">1*W/(S*0.5*Linterp(J$2,atmos_h,atmos_rho)*I5*I5)</f>
        <v>7.4605831977978001</v>
      </c>
      <c r="L5">
        <f>$C$25+$C$26*K5*K5</f>
        <v>3.4709387023782963</v>
      </c>
      <c r="M5">
        <f t="shared" ref="M5:M36" si="0">W*L5/K5</f>
        <v>418.71322245458731</v>
      </c>
      <c r="N5">
        <f>K5/L5</f>
        <v>2.1494425103750143</v>
      </c>
      <c r="O5">
        <f>(1/'BD-5J Details'!$H$9)*'HW#8 Calculations'!N5</f>
        <v>1.6534173156730878</v>
      </c>
      <c r="P5">
        <f>SQRT(K5)/L5</f>
        <v>0.78693605701930569</v>
      </c>
      <c r="Q5" s="69">
        <f>I5*0.592484*N5/'BD-5J Details'!$H$9</f>
        <v>50.764421780017116</v>
      </c>
      <c r="S5" s="68">
        <f>'HW#7 Calculations'!$H13 - 90</f>
        <v>51.75964863341386</v>
      </c>
      <c r="T5" cm="1">
        <f t="array" ref="T5">S5/Linterp(T$2,atmos_h,atmos_aspeed)</f>
        <v>4.8041830300814659E-2</v>
      </c>
      <c r="U5" cm="1">
        <f t="array" ref="U5">1*W/(S*0.5*Linterp(T$2,atmos_h,atmos_rho)*S5*S5)</f>
        <v>10.12643048392793</v>
      </c>
      <c r="V5">
        <f>$C$25+$C$26*U5*U5</f>
        <v>6.3777648494411405</v>
      </c>
      <c r="W5">
        <f t="shared" ref="W5:W36" si="1">W*V5/U5</f>
        <v>566.83234764779115</v>
      </c>
      <c r="X5">
        <f>U5/V5</f>
        <v>1.5877710644686549</v>
      </c>
      <c r="Y5" cm="1">
        <f t="array" ref="Y5">(1/('BD-5J Details'!$H$9*Linterp(10000,atmos_h,atmos_aspeed)/Linterp(0,atmos_h,atmos_aspeed)))*'HW#8 Calculations'!X5</f>
        <v>1.2656453683814315</v>
      </c>
      <c r="Z5">
        <f>SQRT(U5)/V5</f>
        <v>0.49895305979226595</v>
      </c>
      <c r="AA5" s="69" cm="1">
        <f t="array" ref="AA5">S5*0.592484*X5/('BD-5J Details'!$H$9*Linterp(10000,atmos_h,atmos_aspeed)/Linterp(0,atmos_h,atmos_aspeed))</f>
        <v>38.813247390690854</v>
      </c>
    </row>
    <row r="6" spans="1:27" ht="16" thickBot="1" x14ac:dyDescent="0.4">
      <c r="A6" s="55" t="s">
        <v>103</v>
      </c>
      <c r="B6" s="56" t="s">
        <v>104</v>
      </c>
      <c r="C6" s="56" t="s">
        <v>4</v>
      </c>
      <c r="D6" s="61">
        <f>W*SQRT(4*$C25*$C26)</f>
        <v>63.384540701972433</v>
      </c>
      <c r="E6" s="61">
        <f>W*SQRT(4*$C25*$C26)</f>
        <v>63.384540701972433</v>
      </c>
      <c r="I6" s="68">
        <f>10+I5</f>
        <v>61.820349238537801</v>
      </c>
      <c r="J6" cm="1">
        <f t="array" ref="J6">I6/Linterp(J$2,atmos_h,atmos_aspeed)</f>
        <v>5.5372250650309283E-2</v>
      </c>
      <c r="K6" cm="1">
        <f t="array" ref="K6">1*W/(S*0.5*Linterp(J$2,atmos_h,atmos_rho)*I6*I6)</f>
        <v>5.2421632389534656</v>
      </c>
      <c r="L6">
        <f t="shared" ref="L6:L53" si="2">$C$25+$C$26*K6*K6</f>
        <v>1.7237770762777755</v>
      </c>
      <c r="M6">
        <f t="shared" si="0"/>
        <v>295.94640569791108</v>
      </c>
      <c r="N6">
        <f t="shared" ref="N6:N53" si="3">K6/L6</f>
        <v>3.0410911660764683</v>
      </c>
      <c r="O6">
        <f>(1/'BD-5J Details'!$H$9)*'HW#8 Calculations'!N6</f>
        <v>2.3393008969818987</v>
      </c>
      <c r="P6">
        <f t="shared" ref="P6:P53" si="4">SQRT(K6)/L6</f>
        <v>1.3282327041392739</v>
      </c>
      <c r="Q6" s="69">
        <f>I6*0.592484*N6/'BD-5J Details'!$H$9</f>
        <v>85.68290220470179</v>
      </c>
      <c r="S6" s="68">
        <f>10+S5</f>
        <v>61.75964863341386</v>
      </c>
      <c r="T6" cm="1">
        <f t="array" ref="T6">S6/Linterp(T$2,atmos_h,atmos_aspeed)</f>
        <v>5.7323545221460562E-2</v>
      </c>
      <c r="U6" cm="1">
        <f t="array" ref="U6">1*W/(S*0.5*Linterp(T$2,atmos_h,atmos_rho)*S6*S6)</f>
        <v>7.1126164791848936</v>
      </c>
      <c r="V6">
        <f t="shared" ref="V6:V53" si="5">$C$25+$C$26*U6*U6</f>
        <v>3.1565374171582956</v>
      </c>
      <c r="W6">
        <f t="shared" si="1"/>
        <v>399.41471380557715</v>
      </c>
      <c r="X6">
        <f t="shared" ref="X6:X53" si="6">U6/V6</f>
        <v>2.2532970591516377</v>
      </c>
      <c r="Y6" cm="1">
        <f t="array" ref="Y6">(1/('BD-5J Details'!$H$9*Linterp(10000,atmos_h,atmos_aspeed)/Linterp(0,atmos_h,atmos_aspeed)))*'HW#8 Calculations'!X6</f>
        <v>1.7961499931081981</v>
      </c>
      <c r="Z6">
        <f t="shared" ref="Z6:Z53" si="7">SQRT(U6)/V6</f>
        <v>0.84489697278644671</v>
      </c>
      <c r="AA6" s="69" cm="1">
        <f t="array" ref="AA6">S6*0.592484*X6/('BD-5J Details'!$H$9*Linterp(10000,atmos_h,atmos_aspeed)/Linterp(0,atmos_h,atmos_aspeed))</f>
        <v>65.724008663378626</v>
      </c>
    </row>
    <row r="7" spans="1:27" ht="16" thickBot="1" x14ac:dyDescent="0.4">
      <c r="A7" s="58" t="s">
        <v>105</v>
      </c>
      <c r="B7" s="56" t="s">
        <v>106</v>
      </c>
      <c r="C7" s="56" t="s">
        <v>4</v>
      </c>
      <c r="D7" s="61">
        <f>SQRT((2/M2)*SQRT(C26/C25)*(W/S))</f>
        <v>187.81364784089499</v>
      </c>
      <c r="E7" s="61">
        <f>SQRT((2/W2)*SQRT(C26/C25)*(W/S))</f>
        <v>218.55459201115463</v>
      </c>
      <c r="I7" s="68">
        <f t="shared" ref="I7:I53" si="8">10+I6</f>
        <v>71.820349238537801</v>
      </c>
      <c r="J7" cm="1">
        <f t="array" ref="J7">I7/Linterp(J$2,atmos_h,atmos_aspeed)</f>
        <v>6.4329212448867218E-2</v>
      </c>
      <c r="K7" cm="1">
        <f t="array" ref="K7">1*W/(S*0.5*Linterp(J$2,atmos_h,atmos_rho)*I7*I7)</f>
        <v>3.883992867254157</v>
      </c>
      <c r="L7">
        <f t="shared" si="2"/>
        <v>0.95529483675863247</v>
      </c>
      <c r="M7">
        <f t="shared" si="0"/>
        <v>221.3612080319273</v>
      </c>
      <c r="N7">
        <f t="shared" si="3"/>
        <v>4.065753019698878</v>
      </c>
      <c r="O7">
        <f>(1/'BD-5J Details'!$H$9)*'HW#8 Calculations'!N7</f>
        <v>3.1275023228452907</v>
      </c>
      <c r="P7">
        <f t="shared" si="4"/>
        <v>2.0630121293643437</v>
      </c>
      <c r="Q7" s="69">
        <f>I7*0.592484*N7/'BD-5J Details'!$H$9</f>
        <v>133.0827542316739</v>
      </c>
      <c r="S7" s="68">
        <f t="shared" ref="S7:S53" si="9">10+S6</f>
        <v>71.75964863341386</v>
      </c>
      <c r="T7" cm="1">
        <f t="array" ref="T7">S7/Linterp(T$2,atmos_h,atmos_aspeed)</f>
        <v>6.6605260142106465E-2</v>
      </c>
      <c r="U7" cm="1">
        <f t="array" ref="U7">1*W/(S*0.5*Linterp(T$2,atmos_h,atmos_rho)*S7*S7)</f>
        <v>5.2683960758866526</v>
      </c>
      <c r="V7">
        <f t="shared" si="5"/>
        <v>1.7408718271699084</v>
      </c>
      <c r="W7">
        <f t="shared" si="1"/>
        <v>297.39310064861309</v>
      </c>
      <c r="X7">
        <f t="shared" si="6"/>
        <v>3.0262975100535412</v>
      </c>
      <c r="Y7" cm="1">
        <f t="array" ref="Y7">(1/('BD-5J Details'!$H$9*Linterp(10000,atmos_h,atmos_aspeed)/Linterp(0,atmos_h,atmos_aspeed)))*'HW#8 Calculations'!X7</f>
        <v>2.4123247442006384</v>
      </c>
      <c r="Z7">
        <f t="shared" si="7"/>
        <v>1.3184765553004232</v>
      </c>
      <c r="AA7" s="69" cm="1">
        <f t="array" ref="AA7">S7*0.592484*X7/('BD-5J Details'!$H$9*Linterp(10000,atmos_h,atmos_aspeed)/Linterp(0,atmos_h,atmos_aspeed))</f>
        <v>102.56346907864868</v>
      </c>
    </row>
    <row r="8" spans="1:27" ht="16" thickBot="1" x14ac:dyDescent="0.4">
      <c r="A8" s="58" t="s">
        <v>107</v>
      </c>
      <c r="B8" s="59" t="s">
        <v>108</v>
      </c>
      <c r="C8" s="59" t="s">
        <v>6</v>
      </c>
      <c r="D8" s="62" cm="1">
        <f t="array" ref="D8">D7/Linterp(J2,atmos_h, atmos_aspeed)</f>
        <v>0.16822396689587082</v>
      </c>
      <c r="E8" s="62" cm="1">
        <f t="array" ref="E8">E7/Linterp(T2,atmos_h, atmos_aspeed)</f>
        <v>0.20285614176456113</v>
      </c>
      <c r="I8" s="68">
        <f t="shared" si="8"/>
        <v>81.820349238537801</v>
      </c>
      <c r="J8" cm="1">
        <f t="array" ref="J8">I8/Linterp(J$2,atmos_h,atmos_aspeed)</f>
        <v>7.3286174247425145E-2</v>
      </c>
      <c r="K8" cm="1">
        <f t="array" ref="K8">1*W/(S*0.5*Linterp(J$2,atmos_h,atmos_rho)*I8*I8)</f>
        <v>2.9926146052297904</v>
      </c>
      <c r="L8">
        <f t="shared" si="2"/>
        <v>0.57525601487694855</v>
      </c>
      <c r="M8">
        <f t="shared" si="0"/>
        <v>173.00270221380524</v>
      </c>
      <c r="N8">
        <f t="shared" si="3"/>
        <v>5.2022308812710678</v>
      </c>
      <c r="O8">
        <f>(1/'BD-5J Details'!$H$9)*'HW#8 Calculations'!N8</f>
        <v>4.0017160625162056</v>
      </c>
      <c r="P8">
        <f t="shared" si="4"/>
        <v>3.0072132568069754</v>
      </c>
      <c r="Q8" s="69">
        <f>I8*0.592484*N8/'BD-5J Details'!$H$9</f>
        <v>193.99218118081873</v>
      </c>
      <c r="S8" s="68">
        <f t="shared" si="9"/>
        <v>81.75964863341386</v>
      </c>
      <c r="T8" cm="1">
        <f t="array" ref="T8">S8/Linterp(T$2,atmos_h,atmos_aspeed)</f>
        <v>7.5886975062752368E-2</v>
      </c>
      <c r="U8" cm="1">
        <f t="array" ref="U8">1*W/(S*0.5*Linterp(T$2,atmos_h,atmos_rho)*S8*S8)</f>
        <v>4.0584574018659962</v>
      </c>
      <c r="V8">
        <f t="shared" si="5"/>
        <v>1.0412067419311755</v>
      </c>
      <c r="W8">
        <f t="shared" si="1"/>
        <v>230.89710570996871</v>
      </c>
      <c r="X8">
        <f t="shared" si="6"/>
        <v>3.8978401103498266</v>
      </c>
      <c r="Y8" cm="1">
        <f t="array" ref="Y8">(1/('BD-5J Details'!$H$9*Linterp(10000,atmos_h,atmos_aspeed)/Linterp(0,atmos_h,atmos_aspeed)))*'HW#8 Calculations'!X8</f>
        <v>3.1070494939436006</v>
      </c>
      <c r="Z8">
        <f t="shared" si="7"/>
        <v>1.9348331711314555</v>
      </c>
      <c r="AA8" s="69" cm="1">
        <f t="array" ref="AA8">S8*0.592484*X8/('BD-5J Details'!$H$9*Linterp(10000,atmos_h,atmos_aspeed)/Linterp(0,atmos_h,atmos_aspeed))</f>
        <v>150.50946588463856</v>
      </c>
    </row>
    <row r="9" spans="1:27" ht="16" thickBot="1" x14ac:dyDescent="0.4">
      <c r="A9" s="53"/>
      <c r="B9" s="53"/>
      <c r="C9" s="53"/>
      <c r="D9" s="53"/>
      <c r="E9" s="53"/>
      <c r="I9" s="68">
        <f t="shared" si="8"/>
        <v>91.820349238537801</v>
      </c>
      <c r="J9" cm="1">
        <f t="array" ref="J9">I9/Linterp(J$2,atmos_h,atmos_aspeed)</f>
        <v>8.2243136045983073E-2</v>
      </c>
      <c r="K9" cm="1">
        <f t="array" ref="K9">1*W/(S*0.5*Linterp(J$2,atmos_h,atmos_rho)*I9*I9)</f>
        <v>2.3762688139545673</v>
      </c>
      <c r="L9">
        <f t="shared" si="2"/>
        <v>0.37009251552272887</v>
      </c>
      <c r="M9">
        <f t="shared" si="0"/>
        <v>140.17070039148538</v>
      </c>
      <c r="N9">
        <f t="shared" si="3"/>
        <v>6.4207426907789795</v>
      </c>
      <c r="O9">
        <f>(1/'BD-5J Details'!$H$9)*'HW#8 Calculations'!N9</f>
        <v>4.9390328390607534</v>
      </c>
      <c r="P9">
        <f t="shared" si="4"/>
        <v>4.1652155575333376</v>
      </c>
      <c r="Q9" s="69">
        <f>I9*0.592484*N9/'BD-5J Details'!$H$9</f>
        <v>268.6936981490025</v>
      </c>
      <c r="S9" s="68">
        <f t="shared" si="9"/>
        <v>91.75964863341386</v>
      </c>
      <c r="T9" cm="1">
        <f t="array" ref="T9">S9/Linterp(T$2,atmos_h,atmos_aspeed)</f>
        <v>8.5168689983398257E-2</v>
      </c>
      <c r="U9" cm="1">
        <f t="array" ref="U9">1*W/(S*0.5*Linterp(T$2,atmos_h,atmos_rho)*S9*S9)</f>
        <v>3.2220742259216961</v>
      </c>
      <c r="V9">
        <f t="shared" si="5"/>
        <v>0.66366926367563162</v>
      </c>
      <c r="W9">
        <f t="shared" si="1"/>
        <v>185.37820528861531</v>
      </c>
      <c r="X9">
        <f t="shared" si="6"/>
        <v>4.8549396548466426</v>
      </c>
      <c r="Y9" cm="1">
        <f t="array" ref="Y9">(1/('BD-5J Details'!$H$9*Linterp(10000,atmos_h,atmos_aspeed)/Linterp(0,atmos_h,atmos_aspeed)))*'HW#8 Calculations'!X9</f>
        <v>3.8699734649618964</v>
      </c>
      <c r="Z9">
        <f t="shared" si="7"/>
        <v>2.7046810966687245</v>
      </c>
      <c r="AA9" s="69" cm="1">
        <f t="array" ref="AA9">S9*0.592484*X9/('BD-5J Details'!$H$9*Linterp(10000,atmos_h,atmos_aspeed)/Linterp(0,atmos_h,atmos_aspeed))</f>
        <v>210.39545596059588</v>
      </c>
    </row>
    <row r="10" spans="1:27" ht="18" thickBot="1" x14ac:dyDescent="0.4">
      <c r="A10" s="55" t="s">
        <v>109</v>
      </c>
      <c r="B10" s="59" t="s">
        <v>108</v>
      </c>
      <c r="C10" s="56" t="s">
        <v>5</v>
      </c>
      <c r="D10" s="60">
        <f>SQRT(1/(4*C25*C26))</f>
        <v>14.199045856176621</v>
      </c>
      <c r="E10" s="60">
        <f>SQRT(1/(4*C25*C26))</f>
        <v>14.199045856176621</v>
      </c>
      <c r="I10" s="68">
        <f t="shared" si="8"/>
        <v>101.8203492385378</v>
      </c>
      <c r="J10" cm="1">
        <f t="array" ref="J10">I10/Linterp(J$2,atmos_h,atmos_aspeed)</f>
        <v>9.1200097844541E-2</v>
      </c>
      <c r="K10" cm="1">
        <f t="array" ref="K10">1*W/(S*0.5*Linterp(J$2,atmos_h,atmos_rho)*I10*I10)</f>
        <v>1.9324322836886627</v>
      </c>
      <c r="L10">
        <f t="shared" si="2"/>
        <v>0.25152626092461516</v>
      </c>
      <c r="M10">
        <f t="shared" si="0"/>
        <v>117.1444074614855</v>
      </c>
      <c r="N10">
        <f t="shared" si="3"/>
        <v>7.6828251514772496</v>
      </c>
      <c r="O10">
        <f>(1/'BD-5J Details'!$H$9)*'HW#8 Calculations'!N10</f>
        <v>5.9098655011363457</v>
      </c>
      <c r="P10">
        <f t="shared" si="4"/>
        <v>5.526737113882227</v>
      </c>
      <c r="Q10" s="69">
        <f>I10*0.592484*N10/'BD-5J Details'!$H$9</f>
        <v>356.52402938439627</v>
      </c>
      <c r="S10" s="68">
        <f t="shared" si="9"/>
        <v>101.75964863341386</v>
      </c>
      <c r="T10" cm="1">
        <f t="array" ref="T10">S10/Linterp(T$2,atmos_h,atmos_aspeed)</f>
        <v>9.4450404904044161E-2</v>
      </c>
      <c r="U10" cm="1">
        <f t="array" ref="U10">1*W/(S*0.5*Linterp(T$2,atmos_h,atmos_rho)*S10*S10)</f>
        <v>2.6199187754932995</v>
      </c>
      <c r="V10">
        <f t="shared" si="5"/>
        <v>0.44556641219130327</v>
      </c>
      <c r="W10">
        <f t="shared" si="1"/>
        <v>153.06190967567977</v>
      </c>
      <c r="X10">
        <f t="shared" si="6"/>
        <v>5.8799736780169178</v>
      </c>
      <c r="Y10" cm="1">
        <f t="array" ref="Y10">(1/('BD-5J Details'!$H$9*Linterp(10000,atmos_h,atmos_aspeed)/Linterp(0,atmos_h,atmos_aspeed)))*'HW#8 Calculations'!X10</f>
        <v>4.6870494231341109</v>
      </c>
      <c r="Z10">
        <f t="shared" si="7"/>
        <v>3.6327161805915895</v>
      </c>
      <c r="AA10" s="69" cm="1">
        <f t="array" ref="AA10">S10*0.592484*X10/('BD-5J Details'!$H$9*Linterp(10000,atmos_h,atmos_aspeed)/Linterp(0,atmos_h,atmos_aspeed))</f>
        <v>282.58672644711277</v>
      </c>
    </row>
    <row r="11" spans="1:27" ht="16" thickBot="1" x14ac:dyDescent="0.4">
      <c r="A11" s="58" t="s">
        <v>105</v>
      </c>
      <c r="B11" s="56" t="s">
        <v>106</v>
      </c>
      <c r="C11" s="56" t="s">
        <v>4</v>
      </c>
      <c r="D11" s="61">
        <f>SQRT((2/M2)*SQRT(C26/C25)*(W/S))</f>
        <v>187.81364784089499</v>
      </c>
      <c r="E11" s="61">
        <f>SQRT((2/W2)*SQRT(C26/C25)*(W/S))</f>
        <v>218.55459201115463</v>
      </c>
      <c r="I11" s="68">
        <f t="shared" si="8"/>
        <v>111.8203492385378</v>
      </c>
      <c r="J11" cm="1">
        <f t="array" ref="J11">I11/Linterp(J$2,atmos_h,atmos_aspeed)</f>
        <v>0.10015705964309893</v>
      </c>
      <c r="K11" cm="1">
        <f t="array" ref="K11">1*W/(S*0.5*Linterp(J$2,atmos_h,atmos_rho)*I11*I11)</f>
        <v>1.6022554603321886</v>
      </c>
      <c r="L11">
        <f t="shared" si="2"/>
        <v>0.17916779873018743</v>
      </c>
      <c r="M11">
        <f t="shared" si="0"/>
        <v>100.64001830503184</v>
      </c>
      <c r="N11">
        <f t="shared" si="3"/>
        <v>8.9427646691415728</v>
      </c>
      <c r="O11">
        <f>(1/'BD-5J Details'!$H$9)*'HW#8 Calculations'!N11</f>
        <v>6.8790497454935169</v>
      </c>
      <c r="P11">
        <f t="shared" si="4"/>
        <v>7.0648984250607905</v>
      </c>
      <c r="Q11" s="69">
        <f>I11*0.592484*N11/'BD-5J Details'!$H$9</f>
        <v>455.74920641101863</v>
      </c>
      <c r="S11" s="68">
        <f t="shared" si="9"/>
        <v>111.75964863341386</v>
      </c>
      <c r="T11" cm="1">
        <f t="array" ref="T11">S11/Linterp(T$2,atmos_h,atmos_aspeed)</f>
        <v>0.10373211982469006</v>
      </c>
      <c r="U11" cm="1">
        <f t="array" ref="U11">1*W/(S*0.5*Linterp(T$2,atmos_h,atmos_rho)*S11*S11)</f>
        <v>2.1720457533846078</v>
      </c>
      <c r="V11">
        <f t="shared" si="5"/>
        <v>0.31250253079735879</v>
      </c>
      <c r="W11">
        <f t="shared" si="1"/>
        <v>129.48727128761413</v>
      </c>
      <c r="X11">
        <f t="shared" si="6"/>
        <v>6.9504901219282074</v>
      </c>
      <c r="Y11" cm="1">
        <f t="array" ref="Y11">(1/('BD-5J Details'!$H$9*Linterp(10000,atmos_h,atmos_aspeed)/Linterp(0,atmos_h,atmos_aspeed)))*'HW#8 Calculations'!X11</f>
        <v>5.5403803656940811</v>
      </c>
      <c r="Z11">
        <f t="shared" si="7"/>
        <v>4.7160776358262897</v>
      </c>
      <c r="AA11" s="69" cm="1">
        <f t="array" ref="AA11">S11*0.592484*X11/('BD-5J Details'!$H$9*Linterp(10000,atmos_h,atmos_aspeed)/Linterp(0,atmos_h,atmos_aspeed))</f>
        <v>366.86073850161307</v>
      </c>
    </row>
    <row r="12" spans="1:27" ht="16" thickBot="1" x14ac:dyDescent="0.4">
      <c r="A12" s="58" t="s">
        <v>107</v>
      </c>
      <c r="B12" s="59" t="s">
        <v>108</v>
      </c>
      <c r="C12" s="59" t="s">
        <v>6</v>
      </c>
      <c r="D12" s="62" cm="1">
        <f t="array" ref="D12">D7/Linterp(J2,atmos_h, atmos_aspeed)</f>
        <v>0.16822396689587082</v>
      </c>
      <c r="E12" s="62" cm="1">
        <f t="array" ref="E12">E7/Linterp(T2,atmos_h, atmos_aspeed)</f>
        <v>0.20285614176456113</v>
      </c>
      <c r="I12" s="68">
        <f t="shared" si="8"/>
        <v>121.8203492385378</v>
      </c>
      <c r="J12" cm="1">
        <f t="array" ref="J12">I12/Linterp(J$2,atmos_h,atmos_aspeed)</f>
        <v>0.10911402144165686</v>
      </c>
      <c r="K12" cm="1">
        <f t="array" ref="K12">1*W/(S*0.5*Linterp(J$2,atmos_h,atmos_rho)*I12*I12)</f>
        <v>1.35</v>
      </c>
      <c r="L12">
        <f t="shared" si="2"/>
        <v>0.13299500000000003</v>
      </c>
      <c r="M12">
        <f t="shared" si="0"/>
        <v>88.663333333333341</v>
      </c>
      <c r="N12">
        <f t="shared" si="3"/>
        <v>10.150757547276212</v>
      </c>
      <c r="O12">
        <f>(1/'BD-5J Details'!$H$9)*'HW#8 Calculations'!N12</f>
        <v>7.8082750363663163</v>
      </c>
      <c r="P12">
        <f t="shared" si="4"/>
        <v>8.7363810959977801</v>
      </c>
      <c r="Q12" s="69">
        <f>I12*0.592484*N12/'BD-5J Details'!$H$9</f>
        <v>563.57480488064527</v>
      </c>
      <c r="S12" s="68">
        <f t="shared" si="9"/>
        <v>121.75964863341386</v>
      </c>
      <c r="T12" cm="1">
        <f t="array" ref="T12">S12/Linterp(T$2,atmos_h,atmos_aspeed)</f>
        <v>0.11301383474533597</v>
      </c>
      <c r="U12" cm="1">
        <f t="array" ref="U12">1*W/(S*0.5*Linterp(T$2,atmos_h,atmos_rho)*S12*S12)</f>
        <v>1.8299206261011567</v>
      </c>
      <c r="V12">
        <f t="shared" si="5"/>
        <v>0.22761378886548786</v>
      </c>
      <c r="W12">
        <f t="shared" si="1"/>
        <v>111.94606315542725</v>
      </c>
      <c r="X12">
        <f t="shared" si="6"/>
        <v>8.0395859812455317</v>
      </c>
      <c r="Y12" cm="1">
        <f t="array" ref="Y12">(1/('BD-5J Details'!$H$9*Linterp(10000,atmos_h,atmos_aspeed)/Linterp(0,atmos_h,atmos_aspeed)))*'HW#8 Calculations'!X12</f>
        <v>6.4085213470449718</v>
      </c>
      <c r="Z12">
        <f t="shared" si="7"/>
        <v>5.9431618569074409</v>
      </c>
      <c r="AA12" s="69" cm="1">
        <f t="array" ref="AA12">S12*0.592484*X12/('BD-5J Details'!$H$9*Linterp(10000,atmos_h,atmos_aspeed)/Linterp(0,atmos_h,atmos_aspeed))</f>
        <v>462.31485489056769</v>
      </c>
    </row>
    <row r="13" spans="1:27" ht="16" thickBot="1" x14ac:dyDescent="0.4">
      <c r="A13" s="55" t="s">
        <v>110</v>
      </c>
      <c r="B13" s="56" t="s">
        <v>111</v>
      </c>
      <c r="C13" s="56" t="s">
        <v>5</v>
      </c>
      <c r="D13" s="60">
        <f>(1/'BD-5J Details'!$H$9)*D10</f>
        <v>10.922342966289708</v>
      </c>
      <c r="E13" s="60" cm="1">
        <f t="array" ref="E13">(1/('BD-5J Details'!$H$9*Linterp(10000,atmos_h,atmos_aspeed)/Linterp(0,atmos_h,atmos_aspeed))*E10)</f>
        <v>11.318355035849864</v>
      </c>
      <c r="I13" s="68">
        <f t="shared" si="8"/>
        <v>131.8203492385378</v>
      </c>
      <c r="J13" cm="1">
        <f t="array" ref="J13">I13/Linterp(J$2,atmos_h,atmos_aspeed)</f>
        <v>0.11807098324021478</v>
      </c>
      <c r="K13" cm="1">
        <f t="array" ref="K13">1*W/(S*0.5*Linterp(J$2,atmos_h,atmos_rho)*I13*I13)</f>
        <v>1.1529448483627465</v>
      </c>
      <c r="L13">
        <f t="shared" si="2"/>
        <v>0.10241547304870417</v>
      </c>
      <c r="M13">
        <f t="shared" si="0"/>
        <v>79.946517714812174</v>
      </c>
      <c r="N13">
        <f t="shared" si="3"/>
        <v>11.257525977685598</v>
      </c>
      <c r="O13">
        <f>(1/'BD-5J Details'!$H$9)*'HW#8 Calculations'!N13</f>
        <v>8.6596353674504591</v>
      </c>
      <c r="P13">
        <f t="shared" si="4"/>
        <v>10.484281937728014</v>
      </c>
      <c r="Q13" s="69">
        <f>I13*0.592484*N13/'BD-5J Details'!$H$9</f>
        <v>676.33005960277546</v>
      </c>
      <c r="S13" s="68">
        <f t="shared" si="9"/>
        <v>131.75964863341386</v>
      </c>
      <c r="T13" cm="1">
        <f t="array" ref="T13">S13/Linterp(T$2,atmos_h,atmos_aspeed)</f>
        <v>0.12229554966598186</v>
      </c>
      <c r="U13" cm="1">
        <f t="array" ref="U13">1*W/(S*0.5*Linterp(T$2,atmos_h,atmos_rho)*S13*S13)</f>
        <v>1.5626948059356496</v>
      </c>
      <c r="V13">
        <f t="shared" si="5"/>
        <v>0.17140493350289196</v>
      </c>
      <c r="W13">
        <f t="shared" si="1"/>
        <v>98.716934085052074</v>
      </c>
      <c r="X13">
        <f t="shared" si="6"/>
        <v>9.1169768220777829</v>
      </c>
      <c r="Y13" cm="1">
        <f t="array" ref="Y13">(1/('BD-5J Details'!$H$9*Linterp(10000,atmos_h,atmos_aspeed)/Linterp(0,atmos_h,atmos_aspeed)))*'HW#8 Calculations'!X13</f>
        <v>7.2673320144961009</v>
      </c>
      <c r="Z13">
        <f t="shared" si="7"/>
        <v>7.2931268336250143</v>
      </c>
      <c r="AA13" s="69" cm="1">
        <f t="array" ref="AA13">S13*0.592484*X13/('BD-5J Details'!$H$9*Linterp(10000,atmos_h,atmos_aspeed)/Linterp(0,atmos_h,atmos_aspeed))</f>
        <v>567.32778863612316</v>
      </c>
    </row>
    <row r="14" spans="1:27" ht="16" thickBot="1" x14ac:dyDescent="0.4">
      <c r="A14" s="53"/>
      <c r="B14" s="53"/>
      <c r="C14" s="53"/>
      <c r="D14" s="53"/>
      <c r="E14" s="53"/>
      <c r="F14">
        <f>D15*SQRT(F16)</f>
        <v>12.296491615826723</v>
      </c>
      <c r="I14" s="68">
        <f t="shared" si="8"/>
        <v>141.8203492385378</v>
      </c>
      <c r="J14" cm="1">
        <f t="array" ref="J14">I14/Linterp(J$2,atmos_h,atmos_aspeed)</f>
        <v>0.12702794503877271</v>
      </c>
      <c r="K14" cm="1">
        <f t="array" ref="K14">1*W/(S*0.5*Linterp(J$2,atmos_h,atmos_rho)*I14*I14)</f>
        <v>0.99608488024303887</v>
      </c>
      <c r="L14">
        <f t="shared" si="2"/>
        <v>8.1515475496224926E-2</v>
      </c>
      <c r="M14">
        <f t="shared" si="0"/>
        <v>73.652285464570113</v>
      </c>
      <c r="N14">
        <f t="shared" si="3"/>
        <v>12.219580075800069</v>
      </c>
      <c r="O14">
        <f>(1/'BD-5J Details'!$H$9)*'HW#8 Calculations'!N14</f>
        <v>9.3996769813846672</v>
      </c>
      <c r="P14">
        <f t="shared" si="4"/>
        <v>12.243571104329426</v>
      </c>
      <c r="Q14" s="69">
        <f>I14*0.592484*N14/'BD-5J Details'!$H$9</f>
        <v>789.81996324837462</v>
      </c>
      <c r="S14" s="68">
        <f t="shared" si="9"/>
        <v>141.75964863341386</v>
      </c>
      <c r="T14" cm="1">
        <f t="array" ref="T14">S14/Linterp(T$2,atmos_h,atmos_aspeed)</f>
        <v>0.13157726458662777</v>
      </c>
      <c r="U14" cm="1">
        <f t="array" ref="U14">1*W/(S*0.5*Linterp(T$2,atmos_h,atmos_rho)*S14*S14)</f>
        <v>1.3499999999999999</v>
      </c>
      <c r="V14">
        <f t="shared" si="5"/>
        <v>0.13299499999999997</v>
      </c>
      <c r="W14">
        <f t="shared" si="1"/>
        <v>88.663333333333327</v>
      </c>
      <c r="X14">
        <f t="shared" si="6"/>
        <v>10.150757547276214</v>
      </c>
      <c r="Y14" cm="1">
        <f t="array" ref="Y14">(1/('BD-5J Details'!$H$9*Linterp(10000,atmos_h,atmos_aspeed)/Linterp(0,atmos_h,atmos_aspeed)))*'HW#8 Calculations'!X14</f>
        <v>8.0913801509365051</v>
      </c>
      <c r="Z14">
        <f t="shared" si="7"/>
        <v>8.7363810959977837</v>
      </c>
      <c r="AA14" s="69" cm="1">
        <f t="array" ref="AA14">S14*0.592484*X14/('BD-5J Details'!$H$9*Linterp(10000,atmos_h,atmos_aspeed)/Linterp(0,atmos_h,atmos_aspeed))</f>
        <v>679.59763774069745</v>
      </c>
    </row>
    <row r="15" spans="1:27" ht="18" thickBot="1" x14ac:dyDescent="0.4">
      <c r="A15" s="55" t="s">
        <v>112</v>
      </c>
      <c r="B15" s="59" t="s">
        <v>108</v>
      </c>
      <c r="C15" s="56" t="s">
        <v>5</v>
      </c>
      <c r="D15" s="60">
        <f>0.75*POWER(1/(3*C26*C25*C25*C25),0.25)</f>
        <v>21.473880431482151</v>
      </c>
      <c r="E15" s="60">
        <f>0.75*POWER(1/(3*C26*C25*C25*C25),0.25)</f>
        <v>21.473880431482151</v>
      </c>
      <c r="F15" t="s">
        <v>124</v>
      </c>
      <c r="I15" s="68">
        <f t="shared" si="8"/>
        <v>151.8203492385378</v>
      </c>
      <c r="J15" cm="1">
        <f t="array" ref="J15">I15/Linterp(J$2,atmos_h,atmos_aspeed)</f>
        <v>0.13598490683733064</v>
      </c>
      <c r="K15" cm="1">
        <f t="array" ref="K15">1*W/(S*0.5*Linterp(J$2,atmos_h,atmos_rho)*I15*I15)</f>
        <v>0.86918750940417933</v>
      </c>
      <c r="L15">
        <f t="shared" si="2"/>
        <v>6.6840189443262907E-2</v>
      </c>
      <c r="M15">
        <f t="shared" si="0"/>
        <v>69.209658270599363</v>
      </c>
      <c r="N15">
        <f t="shared" si="3"/>
        <v>13.003965378374437</v>
      </c>
      <c r="O15">
        <f>(1/'BD-5J Details'!$H$9)*'HW#8 Calculations'!N15</f>
        <v>10.003050291057258</v>
      </c>
      <c r="P15">
        <f t="shared" si="4"/>
        <v>13.948228912323563</v>
      </c>
      <c r="Q15" s="69">
        <f>I15*0.592484*N15/'BD-5J Details'!$H$9</f>
        <v>899.78565510317173</v>
      </c>
      <c r="S15" s="68">
        <f t="shared" si="9"/>
        <v>151.75964863341386</v>
      </c>
      <c r="T15" cm="1">
        <f t="array" ref="T15">S15/Linterp(T$2,atmos_h,atmos_aspeed)</f>
        <v>0.14085897950727366</v>
      </c>
      <c r="U15" cm="1">
        <f t="array" ref="U15">1*W/(S*0.5*Linterp(T$2,atmos_h,atmos_rho)*S15*S15)</f>
        <v>1.1779487616867825</v>
      </c>
      <c r="V15">
        <f t="shared" si="5"/>
        <v>0.10602892367988431</v>
      </c>
      <c r="W15">
        <f t="shared" si="1"/>
        <v>81.010341379576687</v>
      </c>
      <c r="X15">
        <f t="shared" si="6"/>
        <v>11.109692721612166</v>
      </c>
      <c r="Y15" cm="1">
        <f t="array" ref="Y15">(1/('BD-5J Details'!$H$9*Linterp(10000,atmos_h,atmos_aspeed)/Linterp(0,atmos_h,atmos_aspeed)))*'HW#8 Calculations'!X15</f>
        <v>8.8557673407121875</v>
      </c>
      <c r="Z15">
        <f t="shared" si="7"/>
        <v>10.236201989183803</v>
      </c>
      <c r="AA15" s="69" cm="1">
        <f t="array" ref="AA15">S15*0.592484*X15/('BD-5J Details'!$H$9*Linterp(10000,atmos_h,atmos_aspeed)/Linterp(0,atmos_h,atmos_aspeed))</f>
        <v>796.26776978316286</v>
      </c>
    </row>
    <row r="16" spans="1:27" ht="16" thickBot="1" x14ac:dyDescent="0.4">
      <c r="A16" s="58" t="s">
        <v>105</v>
      </c>
      <c r="B16" s="56" t="s">
        <v>106</v>
      </c>
      <c r="C16" s="56" t="s">
        <v>4</v>
      </c>
      <c r="D16" s="61">
        <f>1.3161*D11</f>
        <v>247.18154192340191</v>
      </c>
      <c r="E16" s="61">
        <f>1.3161*E11</f>
        <v>287.63969854588061</v>
      </c>
      <c r="F16" s="51">
        <f>1*W/(0.5*M2*D16*D16*S)</f>
        <v>0.32789996841329683</v>
      </c>
      <c r="G16" s="51">
        <f>1*W/(0.5*W2*E16*E16*S)</f>
        <v>0.32789996841329699</v>
      </c>
      <c r="I16" s="68">
        <f t="shared" si="8"/>
        <v>161.8203492385378</v>
      </c>
      <c r="J16" cm="1">
        <f t="array" ref="J16">I16/Linterp(J$2,atmos_h,atmos_aspeed)</f>
        <v>0.14494186863588857</v>
      </c>
      <c r="K16" cm="1">
        <f t="array" ref="K16">1*W/(S*0.5*Linterp(J$2,atmos_h,atmos_rho)*I16*I16)</f>
        <v>0.76508058395706913</v>
      </c>
      <c r="L16">
        <f t="shared" si="2"/>
        <v>5.6291594596781583E-2</v>
      </c>
      <c r="M16">
        <f t="shared" si="0"/>
        <v>66.21843005748822</v>
      </c>
      <c r="N16">
        <f t="shared" si="3"/>
        <v>13.591382326924025</v>
      </c>
      <c r="O16">
        <f>(1/'BD-5J Details'!$H$9)*'HW#8 Calculations'!N16</f>
        <v>10.454909482249249</v>
      </c>
      <c r="P16">
        <f t="shared" si="4"/>
        <v>15.538533879901708</v>
      </c>
      <c r="Q16" s="69">
        <f>I16*0.592484*N16/'BD-5J Details'!$H$9</f>
        <v>1002.3745648537041</v>
      </c>
      <c r="S16" s="68">
        <f t="shared" si="9"/>
        <v>161.75964863341386</v>
      </c>
      <c r="T16" cm="1">
        <f t="array" ref="T16">S16/Linterp(T$2,atmos_h,atmos_aspeed)</f>
        <v>0.15014069442791955</v>
      </c>
      <c r="U16" cm="1">
        <f t="array" ref="U16">1*W/(S*0.5*Linterp(T$2,atmos_h,atmos_rho)*S16*S16)</f>
        <v>1.0368087051066071</v>
      </c>
      <c r="V16">
        <f t="shared" si="5"/>
        <v>8.6648282041060037E-2</v>
      </c>
      <c r="W16">
        <f t="shared" si="1"/>
        <v>75.214891091154172</v>
      </c>
      <c r="X16">
        <f t="shared" si="6"/>
        <v>11.965715657412508</v>
      </c>
      <c r="Y16" cm="1">
        <f t="array" ref="Y16">(1/('BD-5J Details'!$H$9*Linterp(10000,atmos_h,atmos_aspeed)/Linterp(0,atmos_h,atmos_aspeed)))*'HW#8 Calculations'!X16</f>
        <v>9.5381210428100047</v>
      </c>
      <c r="Z16">
        <f t="shared" si="7"/>
        <v>11.751393282421846</v>
      </c>
      <c r="AA16" s="69" cm="1">
        <f t="array" ref="AA16">S16*0.592484*X16/('BD-5J Details'!$H$9*Linterp(10000,atmos_h,atmos_aspeed)/Linterp(0,atmos_h,atmos_aspeed))</f>
        <v>914.13355566120481</v>
      </c>
    </row>
    <row r="17" spans="1:27" ht="16" thickBot="1" x14ac:dyDescent="0.4">
      <c r="A17" s="58" t="s">
        <v>107</v>
      </c>
      <c r="B17" s="59" t="s">
        <v>108</v>
      </c>
      <c r="C17" s="59" t="s">
        <v>6</v>
      </c>
      <c r="D17" s="62" cm="1">
        <f t="array" ref="D17">D16/Linterp(J2,atmos_h, atmos_aspeed)</f>
        <v>0.2213995628316556</v>
      </c>
      <c r="E17" s="62" cm="1">
        <f t="array" ref="E17">E16/Linterp(T2,atmos_h, atmos_aspeed)</f>
        <v>0.26697896817633887</v>
      </c>
      <c r="I17" s="68">
        <f t="shared" si="8"/>
        <v>171.8203492385378</v>
      </c>
      <c r="J17" cm="1">
        <f t="array" ref="J17">I17/Linterp(J$2,atmos_h,atmos_aspeed)</f>
        <v>0.15389883043444649</v>
      </c>
      <c r="K17" cm="1">
        <f t="array" ref="K17">1*W/(S*0.5*Linterp(J$2,atmos_h,atmos_rho)*I17*I17)</f>
        <v>0.67861624858553049</v>
      </c>
      <c r="L17">
        <f t="shared" si="2"/>
        <v>4.8552240796346506E-2</v>
      </c>
      <c r="M17">
        <f t="shared" si="0"/>
        <v>64.391350498593951</v>
      </c>
      <c r="N17">
        <f t="shared" si="3"/>
        <v>13.977032521155964</v>
      </c>
      <c r="O17">
        <f>(1/'BD-5J Details'!$H$9)*'HW#8 Calculations'!N17</f>
        <v>10.75156347781228</v>
      </c>
      <c r="P17">
        <f t="shared" si="4"/>
        <v>16.966913613129041</v>
      </c>
      <c r="Q17" s="69">
        <f>I17*0.592484*N17/'BD-5J Details'!$H$9</f>
        <v>1094.5178471354075</v>
      </c>
      <c r="S17" s="68">
        <f t="shared" si="9"/>
        <v>171.75964863341386</v>
      </c>
      <c r="T17" cm="1">
        <f t="array" ref="T17">S17/Linterp(T$2,atmos_h,atmos_aspeed)</f>
        <v>0.15942240934856547</v>
      </c>
      <c r="U17" cm="1">
        <f t="array" ref="U17">1*W/(S*0.5*Linterp(T$2,atmos_h,atmos_rho)*S17*S17)</f>
        <v>0.91959529099547443</v>
      </c>
      <c r="V17">
        <f t="shared" si="5"/>
        <v>7.2430640951705177E-2</v>
      </c>
      <c r="W17">
        <f t="shared" si="1"/>
        <v>70.887245177134631</v>
      </c>
      <c r="X17">
        <f t="shared" si="6"/>
        <v>12.696219154109599</v>
      </c>
      <c r="Y17" cm="1">
        <f t="array" ref="Y17">(1/('BD-5J Details'!$H$9*Linterp(10000,atmos_h,atmos_aspeed)/Linterp(0,atmos_h,atmos_aspeed)))*'HW#8 Calculations'!X17</f>
        <v>10.120420587039648</v>
      </c>
      <c r="Z17">
        <f t="shared" si="7"/>
        <v>13.239635873760932</v>
      </c>
      <c r="AA17" s="69" cm="1">
        <f t="array" ref="AA17">S17*0.592484*X17/('BD-5J Details'!$H$9*Linterp(10000,atmos_h,atmos_aspeed)/Linterp(0,atmos_h,atmos_aspeed))</f>
        <v>1029.9030188228417</v>
      </c>
    </row>
    <row r="18" spans="1:27" ht="16" thickBot="1" x14ac:dyDescent="0.4">
      <c r="A18" s="55" t="s">
        <v>113</v>
      </c>
      <c r="B18" s="56" t="s">
        <v>114</v>
      </c>
      <c r="C18" s="56" t="s">
        <v>4</v>
      </c>
      <c r="D18" s="61">
        <f>(D16*0.592484/'BD-5J Details'!$H$9)*D15*SQRT(F16)</f>
        <v>1385.2575615945791</v>
      </c>
      <c r="E18" s="61" cm="1">
        <f t="array" ref="E18">(E16*0.592484/('BD-5J Details'!$H$9*Linterp(10000,atmos_h,atmos_aspeed)/Linterp(0,atmos_h,atmos_aspeed)))*E15*SQRT(G16)</f>
        <v>1670.4397683666664</v>
      </c>
      <c r="I18" s="68">
        <f t="shared" si="8"/>
        <v>181.8203492385378</v>
      </c>
      <c r="J18" cm="1">
        <f t="array" ref="J18">I18/Linterp(J$2,atmos_h,atmos_aspeed)</f>
        <v>0.16285579223300442</v>
      </c>
      <c r="K18" cm="1">
        <f t="array" ref="K18">1*W/(S*0.5*Linterp(J$2,atmos_h,atmos_rho)*I18*I18)</f>
        <v>0.60602211630317382</v>
      </c>
      <c r="L18">
        <f t="shared" si="2"/>
        <v>4.2770293937811808E-2</v>
      </c>
      <c r="M18">
        <f t="shared" si="0"/>
        <v>63.517920400076058</v>
      </c>
      <c r="N18">
        <f t="shared" si="3"/>
        <v>14.169229633640876</v>
      </c>
      <c r="O18">
        <f>(1/'BD-5J Details'!$H$9)*'HW#8 Calculations'!N18</f>
        <v>10.89940741049298</v>
      </c>
      <c r="P18">
        <f t="shared" si="4"/>
        <v>18.201282984087548</v>
      </c>
      <c r="Q18" s="69">
        <f>I18*0.592484*N18/'BD-5J Details'!$H$9</f>
        <v>1174.1457239123574</v>
      </c>
      <c r="S18" s="68">
        <f t="shared" si="9"/>
        <v>181.75964863341386</v>
      </c>
      <c r="T18" cm="1">
        <f t="array" ref="T18">S18/Linterp(T$2,atmos_h,atmos_aspeed)</f>
        <v>0.16870412426921136</v>
      </c>
      <c r="U18" cm="1">
        <f t="array" ref="U18">1*W/(S*0.5*Linterp(T$2,atmos_h,atmos_rho)*S18*S18)</f>
        <v>0.82119080096861752</v>
      </c>
      <c r="V18">
        <f t="shared" si="5"/>
        <v>6.1809968558919737E-2</v>
      </c>
      <c r="W18">
        <f t="shared" si="1"/>
        <v>67.741834951648073</v>
      </c>
      <c r="X18">
        <f t="shared" si="6"/>
        <v>13.285734002369303</v>
      </c>
      <c r="Y18" cm="1">
        <f t="array" ref="Y18">(1/('BD-5J Details'!$H$9*Linterp(10000,atmos_h,atmos_aspeed)/Linterp(0,atmos_h,atmos_aspeed)))*'HW#8 Calculations'!X18</f>
        <v>10.590335144615782</v>
      </c>
      <c r="Z18">
        <f t="shared" si="7"/>
        <v>14.660997347957347</v>
      </c>
      <c r="AA18" s="69" cm="1">
        <f t="array" ref="AA18">S18*0.592484*X18/('BD-5J Details'!$H$9*Linterp(10000,atmos_h,atmos_aspeed)/Linterp(0,atmos_h,atmos_aspeed))</f>
        <v>1140.4698415867927</v>
      </c>
    </row>
    <row r="19" spans="1:27" ht="16" thickBot="1" x14ac:dyDescent="0.4">
      <c r="A19" s="53"/>
      <c r="B19" s="53"/>
      <c r="C19" s="53"/>
      <c r="D19" s="53"/>
      <c r="E19" s="53"/>
      <c r="I19" s="68">
        <f t="shared" si="8"/>
        <v>191.8203492385378</v>
      </c>
      <c r="J19" cm="1">
        <f t="array" ref="J19">I19/Linterp(J$2,atmos_h,atmos_aspeed)</f>
        <v>0.17181275403156235</v>
      </c>
      <c r="K19" cm="1">
        <f t="array" ref="K19">1*W/(S*0.5*Linterp(J$2,atmos_h,atmos_rho)*I19*I19)</f>
        <v>0.54448271111332813</v>
      </c>
      <c r="L19">
        <f t="shared" si="2"/>
        <v>3.8380608207481834E-2</v>
      </c>
      <c r="M19">
        <f t="shared" si="0"/>
        <v>63.441036201320259</v>
      </c>
      <c r="N19">
        <f t="shared" si="3"/>
        <v>14.186401324593596</v>
      </c>
      <c r="O19">
        <f>(1/'BD-5J Details'!$H$9)*'HW#8 Calculations'!N19</f>
        <v>10.912616403533535</v>
      </c>
      <c r="P19">
        <f t="shared" si="4"/>
        <v>19.225612934697359</v>
      </c>
      <c r="Q19" s="69">
        <f>I19*0.592484*N19/'BD-5J Details'!$H$9</f>
        <v>1240.2241774167255</v>
      </c>
      <c r="S19" s="68">
        <f t="shared" si="9"/>
        <v>191.75964863341386</v>
      </c>
      <c r="T19" cm="1">
        <f t="array" ref="T19">S19/Linterp(T$2,atmos_h,atmos_aspeed)</f>
        <v>0.17798583918985728</v>
      </c>
      <c r="U19" cm="1">
        <f t="array" ref="U19">1*W/(S*0.5*Linterp(T$2,atmos_h,atmos_rho)*S19*S19)</f>
        <v>0.73777608620474699</v>
      </c>
      <c r="V19">
        <f t="shared" si="5"/>
        <v>5.374744030928684E-2</v>
      </c>
      <c r="W19">
        <f t="shared" si="1"/>
        <v>65.56555191046651</v>
      </c>
      <c r="X19">
        <f t="shared" si="6"/>
        <v>13.726720416065454</v>
      </c>
      <c r="Y19" cm="1">
        <f t="array" ref="Y19">(1/('BD-5J Details'!$H$9*Linterp(10000,atmos_h,atmos_aspeed)/Linterp(0,atmos_h,atmos_aspeed)))*'HW#8 Calculations'!X19</f>
        <v>10.941854595060265</v>
      </c>
      <c r="Z19">
        <f t="shared" si="7"/>
        <v>15.981020221339879</v>
      </c>
      <c r="AA19" s="69" cm="1">
        <f t="array" ref="AA19">S19*0.592484*X19/('BD-5J Details'!$H$9*Linterp(10000,atmos_h,atmos_aspeed)/Linterp(0,atmos_h,atmos_aspeed))</f>
        <v>1243.1535977848159</v>
      </c>
    </row>
    <row r="20" spans="1:27" ht="16" thickBot="1" x14ac:dyDescent="0.4">
      <c r="A20" s="53" t="s">
        <v>115</v>
      </c>
      <c r="B20" s="54" t="s">
        <v>99</v>
      </c>
      <c r="C20" s="54" t="s">
        <v>100</v>
      </c>
      <c r="D20" s="54" t="s">
        <v>101</v>
      </c>
      <c r="E20" s="54" t="s">
        <v>102</v>
      </c>
      <c r="I20" s="68">
        <f t="shared" si="8"/>
        <v>201.8203492385378</v>
      </c>
      <c r="J20" cm="1">
        <f t="array" ref="J20">I20/Linterp(J$2,atmos_h,atmos_aspeed)</f>
        <v>0.18076971583012028</v>
      </c>
      <c r="K20" cm="1">
        <f t="array" ref="K20">1*W/(S*0.5*Linterp(J$2,atmos_h,atmos_rho)*I20*I20)</f>
        <v>0.49186230673408626</v>
      </c>
      <c r="L20">
        <f t="shared" si="2"/>
        <v>3.4999568784718132E-2</v>
      </c>
      <c r="M20">
        <f t="shared" si="0"/>
        <v>64.041524375796172</v>
      </c>
      <c r="N20">
        <f t="shared" si="3"/>
        <v>14.053381907632193</v>
      </c>
      <c r="O20">
        <f>(1/'BD-5J Details'!$H$9)*'HW#8 Calculations'!N20</f>
        <v>10.810293775101686</v>
      </c>
      <c r="P20">
        <f t="shared" si="4"/>
        <v>20.038217096029694</v>
      </c>
      <c r="Q20" s="69">
        <f>I20*0.592484*N20/'BD-5J Details'!$H$9</f>
        <v>1292.6444217531207</v>
      </c>
      <c r="S20" s="68">
        <f t="shared" si="9"/>
        <v>201.75964863341386</v>
      </c>
      <c r="T20" cm="1">
        <f t="array" ref="T20">S20/Linterp(T$2,atmos_h,atmos_aspeed)</f>
        <v>0.18726755411050316</v>
      </c>
      <c r="U20" cm="1">
        <f t="array" ref="U20">1*W/(S*0.5*Linterp(T$2,atmos_h,atmos_rho)*S20*S20)</f>
        <v>0.66645433758491845</v>
      </c>
      <c r="V20">
        <f t="shared" si="5"/>
        <v>4.7538005813316658E-2</v>
      </c>
      <c r="W20">
        <f t="shared" si="1"/>
        <v>64.196754104752898</v>
      </c>
      <c r="X20">
        <f t="shared" si="6"/>
        <v>14.019400397275961</v>
      </c>
      <c r="Y20" cm="1">
        <f t="array" ref="Y20">(1/('BD-5J Details'!$H$9*Linterp(10000,atmos_h,atmos_aspeed)/Linterp(0,atmos_h,atmos_aspeed)))*'HW#8 Calculations'!X20</f>
        <v>11.175155900850848</v>
      </c>
      <c r="Z20">
        <f t="shared" si="7"/>
        <v>17.172923687670554</v>
      </c>
      <c r="AA20" s="69" cm="1">
        <f t="array" ref="AA20">S20*0.592484*X20/('BD-5J Details'!$H$9*Linterp(10000,atmos_h,atmos_aspeed)/Linterp(0,atmos_h,atmos_aspeed))</f>
        <v>1335.8710251992809</v>
      </c>
    </row>
    <row r="21" spans="1:27" ht="16" thickBot="1" x14ac:dyDescent="0.4">
      <c r="A21" s="58" t="s">
        <v>116</v>
      </c>
      <c r="B21" s="56" t="s">
        <v>114</v>
      </c>
      <c r="C21" s="56" t="s">
        <v>4</v>
      </c>
      <c r="D21" s="61">
        <f>(D16*0.592484/'BD-5J Details'!$H$9)*D15*SQRT(F16)*LN(W/(W-100))</f>
        <v>163.1598407705691</v>
      </c>
      <c r="E21" s="61" cm="1">
        <f t="array" ref="E21">(E16*0.592484/('BD-5J Details'!$H$9*Linterp(10000,atmos_h,atmos_aspeed)/Linterp(0,atmos_h,atmos_aspeed)))*E15*SQRT(G16)*LN(W/(W-100))</f>
        <v>196.74946679937199</v>
      </c>
      <c r="I21" s="68">
        <f t="shared" si="8"/>
        <v>211.8203492385378</v>
      </c>
      <c r="J21" cm="1">
        <f t="array" ref="J21">I21/Linterp(J$2,atmos_h,atmos_aspeed)</f>
        <v>0.1897266776286782</v>
      </c>
      <c r="K21" cm="1">
        <f t="array" ref="K21">1*W/(S*0.5*Linterp(J$2,atmos_h,atmos_rho)*I21*I21)</f>
        <v>0.44651709380929222</v>
      </c>
      <c r="L21">
        <f t="shared" si="2"/>
        <v>3.2361405933961571E-2</v>
      </c>
      <c r="M21">
        <f t="shared" si="0"/>
        <v>65.227660361430267</v>
      </c>
      <c r="N21">
        <f t="shared" si="3"/>
        <v>13.797827409614992</v>
      </c>
      <c r="O21">
        <f>(1/'BD-5J Details'!$H$9)*'HW#8 Calculations'!N21</f>
        <v>10.613713392011531</v>
      </c>
      <c r="P21">
        <f t="shared" si="4"/>
        <v>20.648650029144211</v>
      </c>
      <c r="Q21" s="69">
        <f>I21*0.592484*N21/'BD-5J Details'!$H$9</f>
        <v>1332.0228116599362</v>
      </c>
      <c r="S21" s="68">
        <f t="shared" si="9"/>
        <v>211.75964863341386</v>
      </c>
      <c r="T21" cm="1">
        <f t="array" ref="T21">S21/Linterp(T$2,atmos_h,atmos_aspeed)</f>
        <v>0.19654926903114905</v>
      </c>
      <c r="U21" cm="1">
        <f t="array" ref="U21">1*W/(S*0.5*Linterp(T$2,atmos_h,atmos_rho)*S21*S21)</f>
        <v>0.60499614773920407</v>
      </c>
      <c r="V21">
        <f t="shared" si="5"/>
        <v>4.2693261004315163E-2</v>
      </c>
      <c r="W21">
        <f t="shared" si="1"/>
        <v>63.511040603265243</v>
      </c>
      <c r="X21">
        <f t="shared" si="6"/>
        <v>14.170764507261577</v>
      </c>
      <c r="Y21" cm="1">
        <f t="array" ref="Y21">(1/('BD-5J Details'!$H$9*Linterp(10000,atmos_h,atmos_aspeed)/Linterp(0,atmos_h,atmos_aspeed)))*'HW#8 Calculations'!X21</f>
        <v>11.295811383892152</v>
      </c>
      <c r="Z21">
        <f t="shared" si="7"/>
        <v>18.218682871182292</v>
      </c>
      <c r="AA21" s="69" cm="1">
        <f t="array" ref="AA21">S21*0.592484*X21/('BD-5J Details'!$H$9*Linterp(10000,atmos_h,atmos_aspeed)/Linterp(0,atmos_h,atmos_aspeed))</f>
        <v>1417.2199799839789</v>
      </c>
    </row>
    <row r="22" spans="1:27" ht="16" thickBot="1" x14ac:dyDescent="0.4">
      <c r="A22" s="58" t="s">
        <v>117</v>
      </c>
      <c r="B22" s="56" t="s">
        <v>118</v>
      </c>
      <c r="C22" s="56" t="s">
        <v>4</v>
      </c>
      <c r="D22" s="61">
        <f>60*(1/'BD-5J Details'!$H$9)*D10*LN(W/(W-100))</f>
        <v>77.188002662984971</v>
      </c>
      <c r="E22" s="61" cm="1">
        <f t="array" ref="E22">60*(1/('BD-5J Details'!$H$9*Linterp(10000,atmos_h,atmos_aspeed)/Linterp(0,atmos_h,atmos_aspeed)))*E10*LN(W/(W-100))</f>
        <v>79.986612885546705</v>
      </c>
      <c r="I22" s="68">
        <f t="shared" si="8"/>
        <v>221.8203492385378</v>
      </c>
      <c r="J22" cm="1">
        <f t="array" ref="J22">I22/Linterp(J$2,atmos_h,atmos_aspeed)</f>
        <v>0.19868363942723613</v>
      </c>
      <c r="K22" cm="1">
        <f t="array" ref="K22">1*W/(S*0.5*Linterp(J$2,atmos_h,atmos_rho)*I22*I22)</f>
        <v>0.40716522558250101</v>
      </c>
      <c r="L22">
        <f t="shared" si="2"/>
        <v>3.0278578297266233E-2</v>
      </c>
      <c r="M22">
        <f t="shared" si="0"/>
        <v>66.927917109212927</v>
      </c>
      <c r="N22">
        <f t="shared" si="3"/>
        <v>13.447303290962733</v>
      </c>
      <c r="O22">
        <f>(1/'BD-5J Details'!$H$9)*'HW#8 Calculations'!N22</f>
        <v>10.344079454586717</v>
      </c>
      <c r="P22">
        <f t="shared" si="4"/>
        <v>21.074139975724361</v>
      </c>
      <c r="Q22" s="69">
        <f>I22*0.592484*N22/'BD-5J Details'!$H$9</f>
        <v>1359.4707229847338</v>
      </c>
      <c r="S22" s="68">
        <f t="shared" si="9"/>
        <v>221.75964863341386</v>
      </c>
      <c r="T22" cm="1">
        <f t="array" ref="T22">S22/Linterp(T$2,atmos_h,atmos_aspeed)</f>
        <v>0.20583098395179497</v>
      </c>
      <c r="U22" cm="1">
        <f t="array" ref="U22">1*W/(S*0.5*Linterp(T$2,atmos_h,atmos_rho)*S22*S22)</f>
        <v>0.55166315017982359</v>
      </c>
      <c r="V22">
        <f t="shared" si="5"/>
        <v>3.886859833851225E-2</v>
      </c>
      <c r="W22">
        <f t="shared" si="1"/>
        <v>63.411410555985398</v>
      </c>
      <c r="X22">
        <f t="shared" si="6"/>
        <v>14.19302917422721</v>
      </c>
      <c r="Y22" cm="1">
        <f t="array" ref="Y22">(1/('BD-5J Details'!$H$9*Linterp(10000,atmos_h,atmos_aspeed)/Linterp(0,atmos_h,atmos_aspeed)))*'HW#8 Calculations'!X22</f>
        <v>11.313559013417722</v>
      </c>
      <c r="Z22">
        <f t="shared" si="7"/>
        <v>19.109006490755231</v>
      </c>
      <c r="AA22" s="69" cm="1">
        <f t="array" ref="AA22">S22*0.592484*X22/('BD-5J Details'!$H$9*Linterp(10000,atmos_h,atmos_aspeed)/Linterp(0,atmos_h,atmos_aspeed))</f>
        <v>1486.4776991743313</v>
      </c>
    </row>
    <row r="23" spans="1:27" x14ac:dyDescent="0.35">
      <c r="I23" s="68">
        <f t="shared" si="8"/>
        <v>231.8203492385378</v>
      </c>
      <c r="J23" cm="1">
        <f t="array" ref="J23">I23/Linterp(J$2,atmos_h,atmos_aspeed)</f>
        <v>0.20764060122579409</v>
      </c>
      <c r="K23" cm="1">
        <f t="array" ref="K23">1*W/(S*0.5*Linterp(J$2,atmos_h,atmos_rho)*I23*I23)</f>
        <v>0.37279522191911607</v>
      </c>
      <c r="L23">
        <f t="shared" si="2"/>
        <v>2.8616529204114824E-2</v>
      </c>
      <c r="M23">
        <f t="shared" si="0"/>
        <v>69.085854027633644</v>
      </c>
      <c r="N23">
        <f t="shared" si="3"/>
        <v>13.027268934679583</v>
      </c>
      <c r="O23">
        <f>(1/'BD-5J Details'!$H$9)*'HW#8 Calculations'!N23</f>
        <v>10.020976103599677</v>
      </c>
      <c r="P23">
        <f t="shared" si="4"/>
        <v>21.33625583138636</v>
      </c>
      <c r="Q23" s="69">
        <f>I23*0.592484*N23/'BD-5J Details'!$H$9</f>
        <v>1376.3795426192744</v>
      </c>
      <c r="S23" s="68">
        <f t="shared" si="9"/>
        <v>231.75964863341386</v>
      </c>
      <c r="T23" cm="1">
        <f t="array" ref="T23">S23/Linterp(T$2,atmos_h,atmos_aspeed)</f>
        <v>0.21511269887244086</v>
      </c>
      <c r="U23" cm="1">
        <f t="array" ref="U23">1*W/(S*0.5*Linterp(T$2,atmos_h,atmos_rho)*S23*S23)</f>
        <v>0.50508372780972188</v>
      </c>
      <c r="V23">
        <f t="shared" si="5"/>
        <v>3.5816793470086247E-2</v>
      </c>
      <c r="W23">
        <f t="shared" si="1"/>
        <v>63.8213277288977</v>
      </c>
      <c r="X23">
        <f t="shared" si="6"/>
        <v>14.101868952382956</v>
      </c>
      <c r="Y23" cm="1">
        <f t="array" ref="Y23">(1/('BD-5J Details'!$H$9*Linterp(10000,atmos_h,atmos_aspeed)/Linterp(0,atmos_h,atmos_aspeed)))*'HW#8 Calculations'!X23</f>
        <v>11.240893302888217</v>
      </c>
      <c r="Z23">
        <f t="shared" si="7"/>
        <v>19.842435895633479</v>
      </c>
      <c r="AA23" s="69" cm="1">
        <f t="array" ref="AA23">S23*0.592484*X23/('BD-5J Details'!$H$9*Linterp(10000,atmos_h,atmos_aspeed)/Linterp(0,atmos_h,atmos_aspeed))</f>
        <v>1543.5307152376026</v>
      </c>
    </row>
    <row r="24" spans="1:27" x14ac:dyDescent="0.35">
      <c r="I24" s="68">
        <f t="shared" si="8"/>
        <v>241.8203492385378</v>
      </c>
      <c r="J24" cm="1">
        <f t="array" ref="J24">I24/Linterp(J$2,atmos_h,atmos_aspeed)</f>
        <v>0.21659756302435201</v>
      </c>
      <c r="K24" cm="1">
        <f t="array" ref="K24">1*W/(S*0.5*Linterp(J$2,atmos_h,atmos_rho)*I24*I24)</f>
        <v>0.34260031729055224</v>
      </c>
      <c r="L24">
        <f t="shared" si="2"/>
        <v>2.7277248599270398E-2</v>
      </c>
      <c r="M24">
        <f t="shared" si="0"/>
        <v>71.656453600197381</v>
      </c>
      <c r="N24">
        <f t="shared" si="3"/>
        <v>12.559929424103133</v>
      </c>
      <c r="O24">
        <f>(1/'BD-5J Details'!$H$9)*'HW#8 Calculations'!N24</f>
        <v>9.6614841723870253</v>
      </c>
      <c r="P24">
        <f t="shared" si="4"/>
        <v>21.458201474254153</v>
      </c>
      <c r="Q24" s="69">
        <f>I24*0.592484*N24/'BD-5J Details'!$H$9</f>
        <v>1384.2461284664444</v>
      </c>
      <c r="S24" s="68">
        <f t="shared" si="9"/>
        <v>241.75964863341386</v>
      </c>
      <c r="T24" cm="1">
        <f t="array" ref="T24">S24/Linterp(T$2,atmos_h,atmos_aspeed)</f>
        <v>0.22439441379308678</v>
      </c>
      <c r="U24" cm="1">
        <f t="array" ref="U24">1*W/(S*0.5*Linterp(T$2,atmos_h,atmos_rho)*S24*S24)</f>
        <v>0.46416393481949997</v>
      </c>
      <c r="V24">
        <f t="shared" si="5"/>
        <v>3.3357785820001505E-2</v>
      </c>
      <c r="W24">
        <f t="shared" si="1"/>
        <v>64.679749945837671</v>
      </c>
      <c r="X24">
        <f t="shared" si="6"/>
        <v>13.914710566346548</v>
      </c>
      <c r="Y24" cm="1">
        <f t="array" ref="Y24">(1/('BD-5J Details'!$H$9*Linterp(10000,atmos_h,atmos_aspeed)/Linterp(0,atmos_h,atmos_aspeed)))*'HW#8 Calculations'!X24</f>
        <v>11.091705457271447</v>
      </c>
      <c r="Z24">
        <f t="shared" si="7"/>
        <v>20.4238908417808</v>
      </c>
      <c r="AA24" s="69" cm="1">
        <f t="array" ref="AA24">S24*0.592484*X24/('BD-5J Details'!$H$9*Linterp(10000,atmos_h,atmos_aspeed)/Linterp(0,atmos_h,atmos_aspeed))</f>
        <v>1588.7617329224186</v>
      </c>
    </row>
    <row r="25" spans="1:27" x14ac:dyDescent="0.35">
      <c r="B25" t="s">
        <v>119</v>
      </c>
      <c r="C25">
        <v>0.02</v>
      </c>
      <c r="I25" s="68">
        <f t="shared" si="8"/>
        <v>251.8203492385378</v>
      </c>
      <c r="J25" cm="1">
        <f t="array" ref="J25">I25/Linterp(J$2,atmos_h,atmos_aspeed)</f>
        <v>0.22555452482290994</v>
      </c>
      <c r="K25" cm="1">
        <f t="array" ref="K25">1*W/(S*0.5*Linterp(J$2,atmos_h,atmos_rho)*I25*I25)</f>
        <v>0.31593068209390363</v>
      </c>
      <c r="L25">
        <f t="shared" si="2"/>
        <v>2.6188356145075791E-2</v>
      </c>
      <c r="M25">
        <f t="shared" si="0"/>
        <v>74.603455335062009</v>
      </c>
      <c r="N25">
        <f t="shared" si="3"/>
        <v>12.063784391190518</v>
      </c>
      <c r="O25">
        <f>(1/'BD-5J Details'!$H$9)*'HW#8 Calculations'!N25</f>
        <v>9.2798341470696286</v>
      </c>
      <c r="P25">
        <f t="shared" si="4"/>
        <v>21.462863529743558</v>
      </c>
      <c r="Q25" s="69">
        <f>I25*0.592484*N25/'BD-5J Details'!$H$9</f>
        <v>1384.5468727888262</v>
      </c>
      <c r="S25" s="68">
        <f t="shared" si="9"/>
        <v>251.75964863341386</v>
      </c>
      <c r="T25" cm="1">
        <f t="array" ref="T25">S25/Linterp(T$2,atmos_h,atmos_aspeed)</f>
        <v>0.23367612871373267</v>
      </c>
      <c r="U25" cm="1">
        <f t="array" ref="U25">1*W/(S*0.5*Linterp(T$2,atmos_h,atmos_rho)*S25*S25)</f>
        <v>0.42802267523867787</v>
      </c>
      <c r="V25">
        <f t="shared" si="5"/>
        <v>3.1358611452145434E-2</v>
      </c>
      <c r="W25">
        <f t="shared" si="1"/>
        <v>65.937512051652561</v>
      </c>
      <c r="X25">
        <f t="shared" si="6"/>
        <v>13.649286604793026</v>
      </c>
      <c r="Y25" cm="1">
        <f t="array" ref="Y25">(1/('BD-5J Details'!$H$9*Linterp(10000,atmos_h,atmos_aspeed)/Linterp(0,atmos_h,atmos_aspeed)))*'HW#8 Calculations'!X25</f>
        <v>10.880130492142525</v>
      </c>
      <c r="Z25">
        <f t="shared" si="7"/>
        <v>20.862990702810229</v>
      </c>
      <c r="AA25" s="69" cm="1">
        <f t="array" ref="AA25">S25*0.592484*X25/('BD-5J Details'!$H$9*Linterp(10000,atmos_h,atmos_aspeed)/Linterp(0,atmos_h,atmos_aspeed))</f>
        <v>1622.9190373038139</v>
      </c>
    </row>
    <row r="26" spans="1:27" x14ac:dyDescent="0.35">
      <c r="B26" t="s">
        <v>120</v>
      </c>
      <c r="C26">
        <v>6.2E-2</v>
      </c>
      <c r="I26" s="68">
        <f t="shared" si="8"/>
        <v>261.8203492385378</v>
      </c>
      <c r="J26" cm="1">
        <f t="array" ref="J26">I26/Linterp(J$2,atmos_h,atmos_aspeed)</f>
        <v>0.23451148662146787</v>
      </c>
      <c r="K26" cm="1">
        <f t="array" ref="K26">1*W/(S*0.5*Linterp(J$2,atmos_h,atmos_rho)*I26*I26)</f>
        <v>0.29225816507996299</v>
      </c>
      <c r="L26">
        <f t="shared" si="2"/>
        <v>2.529571977346623E-2</v>
      </c>
      <c r="M26">
        <f t="shared" si="0"/>
        <v>77.897388392521719</v>
      </c>
      <c r="N26">
        <f t="shared" si="3"/>
        <v>11.553660765428196</v>
      </c>
      <c r="O26">
        <f>(1/'BD-5J Details'!$H$9)*'HW#8 Calculations'!N26</f>
        <v>8.8874313580216882</v>
      </c>
      <c r="P26">
        <f t="shared" si="4"/>
        <v>21.371562994321796</v>
      </c>
      <c r="Q26" s="69">
        <f>I26*0.592484*N26/'BD-5J Details'!$H$9</f>
        <v>1378.65717076342</v>
      </c>
      <c r="S26" s="68">
        <f t="shared" si="9"/>
        <v>261.75964863341386</v>
      </c>
      <c r="T26" cm="1">
        <f t="array" ref="T26">S26/Linterp(T$2,atmos_h,atmos_aspeed)</f>
        <v>0.24295784363437856</v>
      </c>
      <c r="U26" cm="1">
        <f t="array" ref="U26">1*W/(S*0.5*Linterp(T$2,atmos_h,atmos_rho)*S26*S26)</f>
        <v>0.39594387276069853</v>
      </c>
      <c r="V26">
        <f t="shared" si="5"/>
        <v>2.9719836123357893E-2</v>
      </c>
      <c r="W26">
        <f t="shared" si="1"/>
        <v>67.55465698843642</v>
      </c>
      <c r="X26">
        <f t="shared" si="6"/>
        <v>13.322545626337149</v>
      </c>
      <c r="Y26" cm="1">
        <f t="array" ref="Y26">(1/('BD-5J Details'!$H$9*Linterp(10000,atmos_h,atmos_aspeed)/Linterp(0,atmos_h,atmos_aspeed)))*'HW#8 Calculations'!X26</f>
        <v>10.619678456394231</v>
      </c>
      <c r="Z26">
        <f t="shared" si="7"/>
        <v>21.17241524115046</v>
      </c>
      <c r="AA26" s="69" cm="1">
        <f t="array" ref="AA26">S26*0.592484*X26/('BD-5J Details'!$H$9*Linterp(10000,atmos_h,atmos_aspeed)/Linterp(0,atmos_h,atmos_aspeed))</f>
        <v>1646.9889791944397</v>
      </c>
    </row>
    <row r="27" spans="1:27" x14ac:dyDescent="0.35">
      <c r="B27" t="s">
        <v>121</v>
      </c>
      <c r="C27">
        <v>202</v>
      </c>
      <c r="D27" t="s">
        <v>63</v>
      </c>
      <c r="I27" s="68">
        <f t="shared" si="8"/>
        <v>271.8203492385378</v>
      </c>
      <c r="J27" cm="1">
        <f t="array" ref="J27">I27/Linterp(J$2,atmos_h,atmos_aspeed)</f>
        <v>0.2434684484200258</v>
      </c>
      <c r="K27" cm="1">
        <f t="array" ref="K27">1*W/(S*0.5*Linterp(J$2,atmos_h,atmos_rho)*I27*I27)</f>
        <v>0.27114994250309793</v>
      </c>
      <c r="L27">
        <f t="shared" si="2"/>
        <v>2.4558382061804867E-2</v>
      </c>
      <c r="M27">
        <f t="shared" si="0"/>
        <v>81.514101207570249</v>
      </c>
      <c r="N27">
        <f t="shared" si="3"/>
        <v>11.041034454986011</v>
      </c>
      <c r="O27">
        <f>(1/'BD-5J Details'!$H$9)*'HW#8 Calculations'!N27</f>
        <v>8.4931034269123149</v>
      </c>
      <c r="P27">
        <f t="shared" si="4"/>
        <v>21.203375611575652</v>
      </c>
      <c r="Q27" s="69">
        <f>I27*0.592484*N27/'BD-5J Details'!$H$9</f>
        <v>1367.8075786527954</v>
      </c>
      <c r="S27" s="68">
        <f t="shared" si="9"/>
        <v>271.75964863341386</v>
      </c>
      <c r="T27" cm="1">
        <f t="array" ref="T27">S27/Linterp(T$2,atmos_h,atmos_aspeed)</f>
        <v>0.25223955855502445</v>
      </c>
      <c r="U27" cm="1">
        <f t="array" ref="U27">1*W/(S*0.5*Linterp(T$2,atmos_h,atmos_rho)*S27*S27)</f>
        <v>0.36734072600871998</v>
      </c>
      <c r="V27">
        <f t="shared" si="5"/>
        <v>2.8366230957046039E-2</v>
      </c>
      <c r="W27">
        <f t="shared" si="1"/>
        <v>69.498441239361554</v>
      </c>
      <c r="X27">
        <f t="shared" si="6"/>
        <v>12.949930731543814</v>
      </c>
      <c r="Y27" cm="1">
        <f t="array" ref="Y27">(1/('BD-5J Details'!$H$9*Linterp(10000,atmos_h,atmos_aspeed)/Linterp(0,atmos_h,atmos_aspeed)))*'HW#8 Calculations'!X27</f>
        <v>10.322659366968427</v>
      </c>
      <c r="Z27">
        <f t="shared" si="7"/>
        <v>21.3664762991007</v>
      </c>
      <c r="AA27" s="69" cm="1">
        <f t="array" ref="AA27">S27*0.592484*X27/('BD-5J Details'!$H$9*Linterp(10000,atmos_h,atmos_aspeed)/Linterp(0,atmos_h,atmos_aspeed))</f>
        <v>1662.0848678823611</v>
      </c>
    </row>
    <row r="28" spans="1:27" x14ac:dyDescent="0.35">
      <c r="B28" t="s">
        <v>122</v>
      </c>
      <c r="C28">
        <v>1.3</v>
      </c>
      <c r="D28" t="s">
        <v>68</v>
      </c>
      <c r="I28" s="68">
        <f t="shared" si="8"/>
        <v>281.8203492385378</v>
      </c>
      <c r="J28" cm="1">
        <f t="array" ref="J28">I28/Linterp(J$2,atmos_h,atmos_aspeed)</f>
        <v>0.25242541021858372</v>
      </c>
      <c r="K28" cm="1">
        <f t="array" ref="K28">1*W/(S*0.5*Linterp(J$2,atmos_h,atmos_rho)*I28*I28)</f>
        <v>0.25224859237457481</v>
      </c>
      <c r="L28">
        <f t="shared" si="2"/>
        <v>2.3945019846007172E-2</v>
      </c>
      <c r="M28">
        <f t="shared" si="0"/>
        <v>85.433649633236257</v>
      </c>
      <c r="N28">
        <f t="shared" si="3"/>
        <v>10.534490845980118</v>
      </c>
      <c r="O28">
        <f>(1/'BD-5J Details'!$H$9)*'HW#8 Calculations'!N28</f>
        <v>8.1034544969077817</v>
      </c>
      <c r="P28">
        <f t="shared" si="4"/>
        <v>20.974865005265478</v>
      </c>
      <c r="Q28" s="69">
        <f>I28*0.592484*N28/'BD-5J Details'!$H$9</f>
        <v>1353.0665984975903</v>
      </c>
      <c r="S28" s="68">
        <f t="shared" si="9"/>
        <v>281.75964863341386</v>
      </c>
      <c r="T28" cm="1">
        <f t="array" ref="T28">S28/Linterp(T$2,atmos_h,atmos_aspeed)</f>
        <v>0.26152127347567039</v>
      </c>
      <c r="U28" cm="1">
        <f t="array" ref="U28">1*W/(S*0.5*Linterp(T$2,atmos_h,atmos_rho)*S28*S28)</f>
        <v>0.34172868124815975</v>
      </c>
      <c r="V28">
        <f t="shared" si="5"/>
        <v>2.7240266478431596E-2</v>
      </c>
      <c r="W28">
        <f t="shared" si="1"/>
        <v>71.741826706038182</v>
      </c>
      <c r="X28">
        <f t="shared" si="6"/>
        <v>12.544983049954192</v>
      </c>
      <c r="Y28" cm="1">
        <f t="array" ref="Y28">(1/('BD-5J Details'!$H$9*Linterp(10000,atmos_h,atmos_aspeed)/Linterp(0,atmos_h,atmos_aspeed)))*'HW#8 Calculations'!X28</f>
        <v>9.9998671401103216</v>
      </c>
      <c r="Z28">
        <f t="shared" si="7"/>
        <v>21.459982503739067</v>
      </c>
      <c r="AA28" s="69" cm="1">
        <f t="array" ref="AA28">S28*0.592484*X28/('BD-5J Details'!$H$9*Linterp(10000,atmos_h,atmos_aspeed)/Linterp(0,atmos_h,atmos_aspeed))</f>
        <v>1669.3586572338174</v>
      </c>
    </row>
    <row r="29" spans="1:27" x14ac:dyDescent="0.35">
      <c r="I29" s="68">
        <f t="shared" si="8"/>
        <v>291.8203492385378</v>
      </c>
      <c r="J29" cm="1">
        <f t="array" ref="J29">I29/Linterp(J$2,atmos_h,atmos_aspeed)</f>
        <v>0.26138237201714165</v>
      </c>
      <c r="K29" cm="1">
        <f t="array" ref="K29">1*W/(S*0.5*Linterp(J$2,atmos_h,atmos_rho)*I29*I29)</f>
        <v>0.23525686381678815</v>
      </c>
      <c r="L29">
        <f t="shared" si="2"/>
        <v>2.343143910232047E-2</v>
      </c>
      <c r="M29">
        <f t="shared" si="0"/>
        <v>89.63944707054938</v>
      </c>
      <c r="N29">
        <f t="shared" si="3"/>
        <v>10.040222574015528</v>
      </c>
      <c r="O29">
        <f>(1/'BD-5J Details'!$H$9)*'HW#8 Calculations'!N29</f>
        <v>7.7232481338580978</v>
      </c>
      <c r="P29">
        <f t="shared" si="4"/>
        <v>20.700087863371976</v>
      </c>
      <c r="Q29" s="69">
        <f>I29*0.592484*N29/'BD-5J Details'!$H$9</f>
        <v>1335.3410125339428</v>
      </c>
      <c r="S29" s="68">
        <f t="shared" si="9"/>
        <v>291.75964863341386</v>
      </c>
      <c r="T29" cm="1">
        <f t="array" ref="T29">S29/Linterp(T$2,atmos_h,atmos_aspeed)</f>
        <v>0.27080298839631628</v>
      </c>
      <c r="U29" cm="1">
        <f t="array" ref="U29">1*W/(S*0.5*Linterp(T$2,atmos_h,atmos_rho)*S29*S29)</f>
        <v>0.31870477483542969</v>
      </c>
      <c r="V29">
        <f t="shared" si="5"/>
        <v>2.6297509477179921E-2</v>
      </c>
      <c r="W29">
        <f t="shared" si="1"/>
        <v>74.262328017154132</v>
      </c>
      <c r="X29">
        <f t="shared" si="6"/>
        <v>12.119199923171083</v>
      </c>
      <c r="Y29" cm="1">
        <f t="array" ref="Y29">(1/('BD-5J Details'!$H$9*Linterp(10000,atmos_h,atmos_aspeed)/Linterp(0,atmos_h,atmos_aspeed)))*'HW#8 Calculations'!X29</f>
        <v>9.6604665461535681</v>
      </c>
      <c r="Z29">
        <f t="shared" si="7"/>
        <v>21.467410688528417</v>
      </c>
      <c r="AA29" s="69" cm="1">
        <f t="array" ref="AA29">S29*0.592484*X29/('BD-5J Details'!$H$9*Linterp(10000,atmos_h,atmos_aspeed)/Linterp(0,atmos_h,atmos_aspeed))</f>
        <v>1669.9364910966117</v>
      </c>
    </row>
    <row r="30" spans="1:27" x14ac:dyDescent="0.35">
      <c r="I30" s="68">
        <f t="shared" si="8"/>
        <v>301.8203492385378</v>
      </c>
      <c r="J30" cm="1">
        <f t="array" ref="J30">I30/Linterp(J$2,atmos_h,atmos_aspeed)</f>
        <v>0.27033933381569958</v>
      </c>
      <c r="K30" cm="1">
        <f t="array" ref="K30">1*W/(S*0.5*Linterp(J$2,atmos_h,atmos_rho)*I30*I30)</f>
        <v>0.21992591844981144</v>
      </c>
      <c r="L30">
        <f t="shared" si="2"/>
        <v>2.2998779395571572E-2</v>
      </c>
      <c r="M30">
        <f t="shared" si="0"/>
        <v>94.117608337909672</v>
      </c>
      <c r="N30">
        <f t="shared" si="3"/>
        <v>9.5625039341069673</v>
      </c>
      <c r="O30">
        <f>(1/'BD-5J Details'!$H$9)*'HW#8 Calculations'!N30</f>
        <v>7.3557722570053592</v>
      </c>
      <c r="P30">
        <f t="shared" si="4"/>
        <v>20.390760312505961</v>
      </c>
      <c r="Q30" s="69">
        <f>I30*0.592484*N30/'BD-5J Details'!$H$9</f>
        <v>1315.3866158326148</v>
      </c>
      <c r="S30" s="68">
        <f t="shared" si="9"/>
        <v>301.75964863341386</v>
      </c>
      <c r="T30" cm="1">
        <f t="array" ref="T30">S30/Linterp(T$2,atmos_h,atmos_aspeed)</f>
        <v>0.28008470331696217</v>
      </c>
      <c r="U30" cm="1">
        <f t="array" ref="U30">1*W/(S*0.5*Linterp(T$2,atmos_h,atmos_rho)*S30*S30)</f>
        <v>0.29793168576595802</v>
      </c>
      <c r="V30">
        <f t="shared" si="5"/>
        <v>2.5503323941767426E-2</v>
      </c>
      <c r="W30">
        <f t="shared" si="1"/>
        <v>77.041122660654295</v>
      </c>
      <c r="X30">
        <f t="shared" si="6"/>
        <v>11.682072754368614</v>
      </c>
      <c r="Y30" cm="1">
        <f t="array" ref="Y30">(1/('BD-5J Details'!$H$9*Linterp(10000,atmos_h,atmos_aspeed)/Linterp(0,atmos_h,atmos_aspeed)))*'HW#8 Calculations'!X30</f>
        <v>9.3120233801523806</v>
      </c>
      <c r="Z30">
        <f t="shared" si="7"/>
        <v>21.402354815438677</v>
      </c>
      <c r="AA30" s="69" cm="1">
        <f t="array" ref="AA30">S30*0.592484*X30/('BD-5J Details'!$H$9*Linterp(10000,atmos_h,atmos_aspeed)/Linterp(0,atmos_h,atmos_aspeed))</f>
        <v>1664.8758352956413</v>
      </c>
    </row>
    <row r="31" spans="1:27" x14ac:dyDescent="0.35">
      <c r="I31" s="68">
        <f t="shared" si="8"/>
        <v>311.8203492385378</v>
      </c>
      <c r="J31" cm="1">
        <f t="array" ref="J31">I31/Linterp(J$2,atmos_h,atmos_aspeed)</f>
        <v>0.27929629561425751</v>
      </c>
      <c r="K31" cm="1">
        <f t="array" ref="K31">1*W/(S*0.5*Linterp(J$2,atmos_h,atmos_rho)*I31*I31)</f>
        <v>0.2060461678437904</v>
      </c>
      <c r="L31">
        <f t="shared" si="2"/>
        <v>2.2632211443552909E-2</v>
      </c>
      <c r="M31">
        <f t="shared" si="0"/>
        <v>98.85643840093131</v>
      </c>
      <c r="N31">
        <f t="shared" si="3"/>
        <v>9.1041111186898807</v>
      </c>
      <c r="O31">
        <f>(1/'BD-5J Details'!$H$9)*'HW#8 Calculations'!N31</f>
        <v>7.0031623989922149</v>
      </c>
      <c r="P31">
        <f t="shared" si="4"/>
        <v>20.056506053591797</v>
      </c>
      <c r="Q31" s="69">
        <f>I31*0.592484*N31/'BD-5J Details'!$H$9</f>
        <v>1293.8242232723392</v>
      </c>
      <c r="S31" s="68">
        <f t="shared" si="9"/>
        <v>311.75964863341386</v>
      </c>
      <c r="T31" cm="1">
        <f t="array" ref="T31">S31/Linterp(T$2,atmos_h,atmos_aspeed)</f>
        <v>0.28936641823760806</v>
      </c>
      <c r="U31" cm="1">
        <f t="array" ref="U31">1*W/(S*0.5*Linterp(T$2,atmos_h,atmos_rho)*S31*S31)</f>
        <v>0.27912530977315453</v>
      </c>
      <c r="V31">
        <f t="shared" si="5"/>
        <v>2.4830478190469487E-2</v>
      </c>
      <c r="W31">
        <f t="shared" si="1"/>
        <v>80.062357618462912</v>
      </c>
      <c r="X31">
        <f t="shared" si="6"/>
        <v>11.241237789785671</v>
      </c>
      <c r="Y31" cm="1">
        <f t="array" ref="Y31">(1/('BD-5J Details'!$H$9*Linterp(10000,atmos_h,atmos_aspeed)/Linterp(0,atmos_h,atmos_aspeed)))*'HW#8 Calculations'!X31</f>
        <v>8.9606246529487805</v>
      </c>
      <c r="Z31">
        <f t="shared" si="7"/>
        <v>21.277202440299053</v>
      </c>
      <c r="AA31" s="69" cm="1">
        <f t="array" ref="AA31">S31*0.592484*X31/('BD-5J Details'!$H$9*Linterp(10000,atmos_h,atmos_aspeed)/Linterp(0,atmos_h,atmos_aspeed))</f>
        <v>1655.140310074393</v>
      </c>
    </row>
    <row r="32" spans="1:27" x14ac:dyDescent="0.35">
      <c r="I32" s="68">
        <f t="shared" si="8"/>
        <v>321.8203492385378</v>
      </c>
      <c r="J32" cm="1">
        <f t="array" ref="J32">I32/Linterp(J$2,atmos_h,atmos_aspeed)</f>
        <v>0.28825325741281543</v>
      </c>
      <c r="K32" cm="1">
        <f t="array" ref="K32">1*W/(S*0.5*Linterp(J$2,atmos_h,atmos_rho)*I32*I32)</f>
        <v>0.19344007207543856</v>
      </c>
      <c r="L32">
        <f t="shared" si="2"/>
        <v>2.2319981812042155E-2</v>
      </c>
      <c r="M32">
        <f t="shared" si="0"/>
        <v>103.84603053189488</v>
      </c>
      <c r="N32">
        <f t="shared" si="3"/>
        <v>8.6666769580911165</v>
      </c>
      <c r="O32">
        <f>(1/'BD-5J Details'!$H$9)*'HW#8 Calculations'!N32</f>
        <v>6.666674583147012</v>
      </c>
      <c r="P32">
        <f t="shared" si="4"/>
        <v>19.705133717330533</v>
      </c>
      <c r="Q32" s="69">
        <f>I32*0.592484*N32/'BD-5J Details'!$H$9</f>
        <v>1271.1575614505909</v>
      </c>
      <c r="S32" s="68">
        <f t="shared" si="9"/>
        <v>321.75964863341386</v>
      </c>
      <c r="T32" cm="1">
        <f t="array" ref="T32">S32/Linterp(T$2,atmos_h,atmos_aspeed)</f>
        <v>0.29864813315825395</v>
      </c>
      <c r="U32" cm="1">
        <f t="array" ref="U32">1*W/(S*0.5*Linterp(T$2,atmos_h,atmos_rho)*S32*S32)</f>
        <v>0.26204499349601562</v>
      </c>
      <c r="V32">
        <f t="shared" si="5"/>
        <v>2.4257389874212266E-2</v>
      </c>
      <c r="W32">
        <f t="shared" si="1"/>
        <v>83.312604433035986</v>
      </c>
      <c r="X32">
        <f t="shared" si="6"/>
        <v>10.802687133894501</v>
      </c>
      <c r="Y32" cm="1">
        <f t="array" ref="Y32">(1/('BD-5J Details'!$H$9*Linterp(10000,atmos_h,atmos_aspeed)/Linterp(0,atmos_h,atmos_aspeed)))*'HW#8 Calculations'!X32</f>
        <v>8.6110467957562218</v>
      </c>
      <c r="Z32">
        <f t="shared" si="7"/>
        <v>21.102983770497691</v>
      </c>
      <c r="AA32" s="69" cm="1">
        <f t="array" ref="AA32">S32*0.592484*X32/('BD-5J Details'!$H$9*Linterp(10000,atmos_h,atmos_aspeed)/Linterp(0,atmos_h,atmos_aspeed))</f>
        <v>1641.587948387519</v>
      </c>
    </row>
    <row r="33" spans="9:27" x14ac:dyDescent="0.35">
      <c r="I33" s="68">
        <f>10+I32</f>
        <v>331.8203492385378</v>
      </c>
      <c r="J33" cm="1">
        <f t="array" ref="J33">I33/Linterp(J$2,atmos_h,atmos_aspeed)</f>
        <v>0.29721021921137336</v>
      </c>
      <c r="K33" cm="1">
        <f t="array" ref="K33">1*W/(S*0.5*Linterp(J$2,atmos_h,atmos_rho)*I33*I33)</f>
        <v>0.18195643394709246</v>
      </c>
      <c r="L33">
        <f t="shared" si="2"/>
        <v>2.2052704918994043E-2</v>
      </c>
      <c r="M33">
        <f t="shared" si="0"/>
        <v>109.07794792717078</v>
      </c>
      <c r="N33">
        <f t="shared" si="3"/>
        <v>8.2509803044783396</v>
      </c>
      <c r="O33">
        <f>(1/'BD-5J Details'!$H$9)*'HW#8 Calculations'!N33</f>
        <v>6.3469079265217996</v>
      </c>
      <c r="P33">
        <f t="shared" si="4"/>
        <v>19.342911378144755</v>
      </c>
      <c r="Q33" s="69">
        <f>I33*0.592484*N33/'BD-5J Details'!$H$9</f>
        <v>1247.7909772909834</v>
      </c>
      <c r="S33" s="68">
        <f t="shared" si="9"/>
        <v>331.75964863341386</v>
      </c>
      <c r="T33" cm="1">
        <f t="array" ref="T33">S33/Linterp(T$2,atmos_h,atmos_aspeed)</f>
        <v>0.30792984807889989</v>
      </c>
      <c r="U33" cm="1">
        <f t="array" ref="U33">1*W/(S*0.5*Linterp(T$2,atmos_h,atmos_rho)*S33*S33)</f>
        <v>0.24648579727043296</v>
      </c>
      <c r="V33">
        <f t="shared" si="5"/>
        <v>2.3766825391874542E-2</v>
      </c>
      <c r="W33">
        <f t="shared" si="1"/>
        <v>86.780427471116312</v>
      </c>
      <c r="X33">
        <f t="shared" si="6"/>
        <v>10.371002151372817</v>
      </c>
      <c r="Y33" cm="1">
        <f t="array" ref="Y33">(1/('BD-5J Details'!$H$9*Linterp(10000,atmos_h,atmos_aspeed)/Linterp(0,atmos_h,atmos_aspeed)))*'HW#8 Calculations'!X33</f>
        <v>8.266941709730343</v>
      </c>
      <c r="Z33">
        <f t="shared" si="7"/>
        <v>20.889342682302551</v>
      </c>
      <c r="AA33" s="69" cm="1">
        <f t="array" ref="AA33">S33*0.592484*X33/('BD-5J Details'!$H$9*Linterp(10000,atmos_h,atmos_aspeed)/Linterp(0,atmos_h,atmos_aspeed))</f>
        <v>1624.968941356303</v>
      </c>
    </row>
    <row r="34" spans="9:27" x14ac:dyDescent="0.35">
      <c r="I34" s="68">
        <f t="shared" si="8"/>
        <v>341.8203492385378</v>
      </c>
      <c r="J34" cm="1">
        <f t="array" ref="J34">I34/Linterp(J$2,atmos_h,atmos_aspeed)</f>
        <v>0.30616718100993129</v>
      </c>
      <c r="K34" cm="1">
        <f t="array" ref="K34">1*W/(S*0.5*Linterp(J$2,atmos_h,atmos_rho)*I34*I34)</f>
        <v>0.17146584411240076</v>
      </c>
      <c r="L34">
        <f t="shared" si="2"/>
        <v>2.1822833213225045E-2</v>
      </c>
      <c r="M34">
        <f t="shared" si="0"/>
        <v>114.54496954523258</v>
      </c>
      <c r="N34">
        <f t="shared" si="3"/>
        <v>7.8571761254395351</v>
      </c>
      <c r="O34">
        <f>(1/'BD-5J Details'!$H$9)*'HW#8 Calculations'!N34</f>
        <v>6.0439816349534876</v>
      </c>
      <c r="P34">
        <f t="shared" si="4"/>
        <v>18.974820554009991</v>
      </c>
      <c r="Q34" s="69">
        <f>I34*0.592484*N34/'BD-5J Details'!$H$9</f>
        <v>1224.0458233066706</v>
      </c>
      <c r="S34" s="68">
        <f t="shared" si="9"/>
        <v>341.75964863341386</v>
      </c>
      <c r="T34" cm="1">
        <f t="array" ref="T34">S34/Linterp(T$2,atmos_h,atmos_aspeed)</f>
        <v>0.31721156299954578</v>
      </c>
      <c r="U34" cm="1">
        <f t="array" ref="U34">1*W/(S*0.5*Linterp(T$2,atmos_h,atmos_rho)*S34*S34)</f>
        <v>0.23227231885697139</v>
      </c>
      <c r="V34">
        <f t="shared" si="5"/>
        <v>2.3344926666646067E-2</v>
      </c>
      <c r="W34">
        <f t="shared" si="1"/>
        <v>90.456039287743366</v>
      </c>
      <c r="X34">
        <f t="shared" si="6"/>
        <v>9.9495844289298692</v>
      </c>
      <c r="Y34" cm="1">
        <f t="array" ref="Y34">(1/('BD-5J Details'!$H$9*Linterp(10000,atmos_h,atmos_aspeed)/Linterp(0,atmos_h,atmos_aspeed)))*'HW#8 Calculations'!X34</f>
        <v>7.9310208704484788</v>
      </c>
      <c r="Z34">
        <f t="shared" si="7"/>
        <v>20.64458769804309</v>
      </c>
      <c r="AA34" s="69" cm="1">
        <f t="array" ref="AA34">S34*0.592484*X34/('BD-5J Details'!$H$9*Linterp(10000,atmos_h,atmos_aspeed)/Linterp(0,atmos_h,atmos_aspeed))</f>
        <v>1605.9296037518352</v>
      </c>
    </row>
    <row r="35" spans="9:27" x14ac:dyDescent="0.35">
      <c r="I35" s="68">
        <f t="shared" si="8"/>
        <v>351.8203492385378</v>
      </c>
      <c r="J35" cm="1">
        <f t="array" ref="J35">I35/Linterp(J$2,atmos_h,atmos_aspeed)</f>
        <v>0.31512414280848922</v>
      </c>
      <c r="K35" cm="1">
        <f t="array" ref="K35">1*W/(S*0.5*Linterp(J$2,atmos_h,atmos_rho)*I35*I35)</f>
        <v>0.16185701924431187</v>
      </c>
      <c r="L35">
        <f t="shared" si="2"/>
        <v>2.1624257070076518E-2</v>
      </c>
      <c r="M35">
        <f t="shared" si="0"/>
        <v>120.24088577643082</v>
      </c>
      <c r="N35">
        <f t="shared" si="3"/>
        <v>7.484974800280578</v>
      </c>
      <c r="O35">
        <f>(1/'BD-5J Details'!$H$9)*'HW#8 Calculations'!N35</f>
        <v>5.7576729232927519</v>
      </c>
      <c r="P35">
        <f t="shared" si="4"/>
        <v>18.604781480610164</v>
      </c>
      <c r="Q35" s="69">
        <f>I35*0.592484*N35/'BD-5J Details'!$H$9</f>
        <v>1200.1749898004427</v>
      </c>
      <c r="S35" s="68">
        <f t="shared" si="9"/>
        <v>351.75964863341386</v>
      </c>
      <c r="T35" cm="1">
        <f t="array" ref="T35">S35/Linterp(T$2,atmos_h,atmos_aspeed)</f>
        <v>0.32649327792019167</v>
      </c>
      <c r="U35" cm="1">
        <f t="array" ref="U35">1*W/(S*0.5*Linterp(T$2,atmos_h,atmos_rho)*S35*S35)</f>
        <v>0.219253728312856</v>
      </c>
      <c r="V35">
        <f t="shared" si="5"/>
        <v>2.2980476237503437E-2</v>
      </c>
      <c r="W35">
        <f t="shared" si="1"/>
        <v>94.331023572110325</v>
      </c>
      <c r="X35">
        <f t="shared" si="6"/>
        <v>9.5408696515627724</v>
      </c>
      <c r="Y35" cm="1">
        <f t="array" ref="Y35">(1/('BD-5J Details'!$H$9*Linterp(10000,atmos_h,atmos_aspeed)/Linterp(0,atmos_h,atmos_aspeed)))*'HW#8 Calculations'!X35</f>
        <v>7.6052258131258901</v>
      </c>
      <c r="Z35">
        <f t="shared" si="7"/>
        <v>20.375790608873679</v>
      </c>
      <c r="AA35" s="69" cm="1">
        <f t="array" ref="AA35">S35*0.592484*X35/('BD-5J Details'!$H$9*Linterp(10000,atmos_h,atmos_aspeed)/Linterp(0,atmos_h,atmos_aspeed))</f>
        <v>1585.0200457982805</v>
      </c>
    </row>
    <row r="36" spans="9:27" x14ac:dyDescent="0.35">
      <c r="I36" s="68">
        <f t="shared" si="8"/>
        <v>361.8203492385378</v>
      </c>
      <c r="J36" cm="1">
        <f t="array" ref="J36">I36/Linterp(J$2,atmos_h,atmos_aspeed)</f>
        <v>0.32408110460704714</v>
      </c>
      <c r="K36" cm="1">
        <f t="array" ref="K36">1*W/(S*0.5*Linterp(J$2,atmos_h,atmos_rho)*I36*I36)</f>
        <v>0.15303383860362796</v>
      </c>
      <c r="L36">
        <f t="shared" si="2"/>
        <v>2.1452000056981196E-2</v>
      </c>
      <c r="M36">
        <f t="shared" si="0"/>
        <v>126.16033308351825</v>
      </c>
      <c r="N36">
        <f t="shared" si="3"/>
        <v>7.1337795169278699</v>
      </c>
      <c r="O36">
        <f>(1/'BD-5J Details'!$H$9)*'HW#8 Calculations'!N36</f>
        <v>5.4875227053291304</v>
      </c>
      <c r="P36">
        <f t="shared" si="4"/>
        <v>18.235847283334696</v>
      </c>
      <c r="Q36" s="69">
        <f>I36*0.592484*N36/'BD-5J Details'!$H$9</f>
        <v>1176.3754306971234</v>
      </c>
      <c r="S36" s="68">
        <f t="shared" si="9"/>
        <v>361.75964863341386</v>
      </c>
      <c r="T36" cm="1">
        <f t="array" ref="T36">S36/Linterp(T$2,atmos_h,atmos_aspeed)</f>
        <v>0.33577499284083756</v>
      </c>
      <c r="U36" cm="1">
        <f t="array" ref="U36">1*W/(S*0.5*Linterp(T$2,atmos_h,atmos_rho)*S36*S36)</f>
        <v>0.20729974999136788</v>
      </c>
      <c r="V36">
        <f t="shared" si="5"/>
        <v>2.2664337553481986E-2</v>
      </c>
      <c r="W36">
        <f t="shared" si="1"/>
        <v>98.398110943130277</v>
      </c>
      <c r="X36">
        <f t="shared" si="6"/>
        <v>9.146517055801608</v>
      </c>
      <c r="Y36" cm="1">
        <f t="array" ref="Y36">(1/('BD-5J Details'!$H$9*Linterp(10000,atmos_h,atmos_aspeed)/Linterp(0,atmos_h,atmos_aspeed)))*'HW#8 Calculations'!X36</f>
        <v>7.2908791497413041</v>
      </c>
      <c r="Z36">
        <f t="shared" si="7"/>
        <v>20.088909366370828</v>
      </c>
      <c r="AA36" s="69" cm="1">
        <f t="array" ref="AA36">S36*0.592484*X36/('BD-5J Details'!$H$9*Linterp(10000,atmos_h,atmos_aspeed)/Linterp(0,atmos_h,atmos_aspeed))</f>
        <v>1562.7037328335941</v>
      </c>
    </row>
    <row r="37" spans="9:27" x14ac:dyDescent="0.35">
      <c r="I37" s="68">
        <f t="shared" si="8"/>
        <v>371.8203492385378</v>
      </c>
      <c r="J37" cm="1">
        <f t="array" ref="J37">I37/Linterp(J$2,atmos_h,atmos_aspeed)</f>
        <v>0.33303806640560507</v>
      </c>
      <c r="K37" cm="1">
        <f t="array" ref="K37">1*W/(S*0.5*Linterp(J$2,atmos_h,atmos_rho)*I37*I37)</f>
        <v>0.14491293082363335</v>
      </c>
      <c r="L37">
        <f t="shared" si="2"/>
        <v>2.1301984966233499E-2</v>
      </c>
      <c r="M37">
        <f t="shared" ref="M37:M53" si="10">W*L37/K37</f>
        <v>132.29865934423216</v>
      </c>
      <c r="N37">
        <f t="shared" si="3"/>
        <v>6.8027900241850592</v>
      </c>
      <c r="O37">
        <f>(1/'BD-5J Details'!$H$9)*'HW#8 Calculations'!N37</f>
        <v>5.232915403219276</v>
      </c>
      <c r="P37">
        <f t="shared" si="4"/>
        <v>17.870368010263025</v>
      </c>
      <c r="Q37" s="69">
        <f>I37*0.592484*N37/'BD-5J Details'!$H$9</f>
        <v>1152.7987451397994</v>
      </c>
      <c r="S37" s="68">
        <f t="shared" si="9"/>
        <v>371.75964863341386</v>
      </c>
      <c r="T37" cm="1">
        <f t="array" ref="T37">S37/Linterp(T$2,atmos_h,atmos_aspeed)</f>
        <v>0.34505670776148345</v>
      </c>
      <c r="U37" cm="1">
        <f t="array" ref="U37">1*W/(S*0.5*Linterp(T$2,atmos_h,atmos_rho)*S37*S37)</f>
        <v>0.19629739067772142</v>
      </c>
      <c r="V37">
        <f t="shared" si="5"/>
        <v>2.2389025266386683E-2</v>
      </c>
      <c r="W37">
        <f t="shared" ref="W37:W53" si="11">W*V37/U37</f>
        <v>102.65099637941816</v>
      </c>
      <c r="X37">
        <f t="shared" si="6"/>
        <v>8.7675719841376303</v>
      </c>
      <c r="Y37" cm="1">
        <f t="array" ref="Y37">(1/('BD-5J Details'!$H$9*Linterp(10000,atmos_h,atmos_aspeed)/Linterp(0,atmos_h,atmos_aspeed)))*'HW#8 Calculations'!X37</f>
        <v>6.9888141445555707</v>
      </c>
      <c r="Z37">
        <f t="shared" si="7"/>
        <v>19.788919275395713</v>
      </c>
      <c r="AA37" s="69" cm="1">
        <f t="array" ref="AA37">S37*0.592484*X37/('BD-5J Details'!$H$9*Linterp(10000,atmos_h,atmos_aspeed)/Linterp(0,atmos_h,atmos_aspeed))</f>
        <v>1539.3676907204936</v>
      </c>
    </row>
    <row r="38" spans="9:27" x14ac:dyDescent="0.35">
      <c r="I38" s="68">
        <f t="shared" si="8"/>
        <v>381.8203492385378</v>
      </c>
      <c r="J38" cm="1">
        <f t="array" ref="J38">I38/Linterp(J$2,atmos_h,atmos_aspeed)</f>
        <v>0.341995028204163</v>
      </c>
      <c r="K38" cm="1">
        <f t="array" ref="K38">1*W/(S*0.5*Linterp(J$2,atmos_h,atmos_rho)*I38*I38)</f>
        <v>0.13742169718200903</v>
      </c>
      <c r="L38">
        <f t="shared" si="2"/>
        <v>2.1170852817095794E-2</v>
      </c>
      <c r="M38">
        <f t="shared" si="10"/>
        <v>138.65181354986711</v>
      </c>
      <c r="N38">
        <f t="shared" si="3"/>
        <v>6.4910798997685566</v>
      </c>
      <c r="O38">
        <f>(1/'BD-5J Details'!$H$9)*'HW#8 Calculations'!N38</f>
        <v>4.9931383844373505</v>
      </c>
      <c r="P38">
        <f t="shared" si="4"/>
        <v>17.51012720286451</v>
      </c>
      <c r="Q38" s="69">
        <f>I38*0.592484*N38/'BD-5J Details'!$H$9</f>
        <v>1129.5599875227961</v>
      </c>
      <c r="S38" s="68">
        <f t="shared" si="9"/>
        <v>381.75964863341386</v>
      </c>
      <c r="T38" cm="1">
        <f t="array" ref="T38">S38/Linterp(T$2,atmos_h,atmos_aspeed)</f>
        <v>0.35433842268212939</v>
      </c>
      <c r="U38" cm="1">
        <f t="array" ref="U38">1*W/(S*0.5*Linterp(T$2,atmos_h,atmos_rho)*S38*S38)</f>
        <v>0.18614825961202111</v>
      </c>
      <c r="V38">
        <f t="shared" si="5"/>
        <v>2.2148372822508235E-2</v>
      </c>
      <c r="W38">
        <f t="shared" si="11"/>
        <v>107.08418967657185</v>
      </c>
      <c r="X38">
        <f t="shared" si="6"/>
        <v>8.404602049268755</v>
      </c>
      <c r="Y38" cm="1">
        <f t="array" ref="Y38">(1/('BD-5J Details'!$H$9*Linterp(10000,atmos_h,atmos_aspeed)/Linterp(0,atmos_h,atmos_aspeed)))*'HW#8 Calculations'!X38</f>
        <v>6.6994832534662834</v>
      </c>
      <c r="Z38">
        <f t="shared" si="7"/>
        <v>19.479942235396315</v>
      </c>
      <c r="AA38" s="69" cm="1">
        <f t="array" ref="AA38">S38*0.592484*X38/('BD-5J Details'!$H$9*Linterp(10000,atmos_h,atmos_aspeed)/Linterp(0,atmos_h,atmos_aspeed))</f>
        <v>1515.3325594467558</v>
      </c>
    </row>
    <row r="39" spans="9:27" x14ac:dyDescent="0.35">
      <c r="I39" s="68">
        <f t="shared" si="8"/>
        <v>391.8203492385378</v>
      </c>
      <c r="J39" cm="1">
        <f t="array" ref="J39">I39/Linterp(J$2,atmos_h,atmos_aspeed)</f>
        <v>0.35095199000272093</v>
      </c>
      <c r="K39" cm="1">
        <f t="array" ref="K39">1*W/(S*0.5*Linterp(J$2,atmos_h,atmos_rho)*I39*I39)</f>
        <v>0.13049668340980991</v>
      </c>
      <c r="L39">
        <f t="shared" si="2"/>
        <v>2.1055821831619529E-2</v>
      </c>
      <c r="M39">
        <f t="shared" si="10"/>
        <v>145.21625495221602</v>
      </c>
      <c r="N39">
        <f t="shared" si="3"/>
        <v>6.1976532881676949</v>
      </c>
      <c r="O39">
        <f>(1/'BD-5J Details'!$H$9)*'HW#8 Calculations'!N39</f>
        <v>4.767425606282842</v>
      </c>
      <c r="P39">
        <f t="shared" si="4"/>
        <v>17.156454388704656</v>
      </c>
      <c r="Q39" s="69">
        <f>I39*0.592484*N39/'BD-5J Details'!$H$9</f>
        <v>1106.7449242784696</v>
      </c>
      <c r="S39" s="68">
        <f t="shared" si="9"/>
        <v>391.75964863341386</v>
      </c>
      <c r="T39" cm="1">
        <f t="array" ref="T39">S39/Linterp(T$2,atmos_h,atmos_aspeed)</f>
        <v>0.36362013760277528</v>
      </c>
      <c r="U39" cm="1">
        <f t="array" ref="U39">1*W/(S*0.5*Linterp(T$2,atmos_h,atmos_rho)*S39*S39)</f>
        <v>0.17676636111849112</v>
      </c>
      <c r="V39">
        <f t="shared" si="5"/>
        <v>2.1937273478230514E-2</v>
      </c>
      <c r="W39">
        <f t="shared" si="11"/>
        <v>111.69289227588301</v>
      </c>
      <c r="X39">
        <f t="shared" si="6"/>
        <v>8.0578090661041113</v>
      </c>
      <c r="Y39" cm="1">
        <f t="array" ref="Y39">(1/('BD-5J Details'!$H$9*Linterp(10000,atmos_h,atmos_aspeed)/Linterp(0,atmos_h,atmos_aspeed)))*'HW#8 Calculations'!X39</f>
        <v>6.4230473473387244</v>
      </c>
      <c r="Z39">
        <f t="shared" si="7"/>
        <v>19.165367947219426</v>
      </c>
      <c r="AA39" s="69" cm="1">
        <f t="array" ref="AA39">S39*0.592484*X39/('BD-5J Details'!$H$9*Linterp(10000,atmos_h,atmos_aspeed)/Linterp(0,atmos_h,atmos_aspeed))</f>
        <v>1490.8620217275497</v>
      </c>
    </row>
    <row r="40" spans="9:27" x14ac:dyDescent="0.35">
      <c r="I40" s="68">
        <f t="shared" si="8"/>
        <v>401.8203492385378</v>
      </c>
      <c r="J40" cm="1">
        <f t="array" ref="J40">I40/Linterp(J$2,atmos_h,atmos_aspeed)</f>
        <v>0.35990895180127885</v>
      </c>
      <c r="K40" cm="1">
        <f t="array" ref="K40">1*W/(S*0.5*Linterp(J$2,atmos_h,atmos_rho)*I40*I40)</f>
        <v>0.12408223153327028</v>
      </c>
      <c r="L40">
        <f t="shared" si="2"/>
        <v>2.0954576811301119E-2</v>
      </c>
      <c r="M40">
        <f t="shared" si="10"/>
        <v>151.98887783634271</v>
      </c>
      <c r="N40">
        <f t="shared" si="3"/>
        <v>5.9214859193124276</v>
      </c>
      <c r="O40">
        <f>(1/'BD-5J Details'!$H$9)*'HW#8 Calculations'!N40</f>
        <v>4.5549891687018667</v>
      </c>
      <c r="P40">
        <f t="shared" si="4"/>
        <v>16.810317000678868</v>
      </c>
      <c r="Q40" s="69">
        <f>I40*0.592484*N40/'BD-5J Details'!$H$9</f>
        <v>1084.4159634908165</v>
      </c>
      <c r="S40" s="68">
        <f t="shared" si="9"/>
        <v>401.75964863341386</v>
      </c>
      <c r="T40" cm="1">
        <f t="array" ref="T40">S40/Linterp(T$2,atmos_h,atmos_aspeed)</f>
        <v>0.37290185252342117</v>
      </c>
      <c r="U40" cm="1">
        <f t="array" ref="U40">1*W/(S*0.5*Linterp(T$2,atmos_h,atmos_rho)*S40*S40)</f>
        <v>0.16807626693734912</v>
      </c>
      <c r="V40">
        <f t="shared" si="5"/>
        <v>2.1751477153470894E-2</v>
      </c>
      <c r="W40">
        <f t="shared" si="11"/>
        <v>116.47289528045583</v>
      </c>
      <c r="X40">
        <f t="shared" si="6"/>
        <v>7.7271196687682933</v>
      </c>
      <c r="Y40" cm="1">
        <f t="array" ref="Y40">(1/('BD-5J Details'!$H$9*Linterp(10000,atmos_h,atmos_aspeed)/Linterp(0,atmos_h,atmos_aspeed)))*'HW#8 Calculations'!X40</f>
        <v>6.1594479447063382</v>
      </c>
      <c r="Z40">
        <f t="shared" si="7"/>
        <v>18.847963902700432</v>
      </c>
      <c r="AA40" s="69" cm="1">
        <f t="array" ref="AA40">S40*0.592484*X40/('BD-5J Details'!$H$9*Linterp(10000,atmos_h,atmos_aspeed)/Linterp(0,atmos_h,atmos_aspeed))</f>
        <v>1466.1713590270328</v>
      </c>
    </row>
    <row r="41" spans="9:27" x14ac:dyDescent="0.35">
      <c r="I41" s="68">
        <f t="shared" si="8"/>
        <v>411.8203492385378</v>
      </c>
      <c r="J41" cm="1">
        <f t="array" ref="J41">I41/Linterp(J$2,atmos_h,atmos_aspeed)</f>
        <v>0.36886591359983678</v>
      </c>
      <c r="K41" cm="1">
        <f t="array" ref="K41">1*W/(S*0.5*Linterp(J$2,atmos_h,atmos_rho)*I41*I41)</f>
        <v>0.118129358027682</v>
      </c>
      <c r="L41">
        <f t="shared" si="2"/>
        <v>2.0865181804138003E-2</v>
      </c>
      <c r="M41">
        <f t="shared" si="10"/>
        <v>158.9669489215685</v>
      </c>
      <c r="N41">
        <f t="shared" si="3"/>
        <v>5.6615542168079491</v>
      </c>
      <c r="O41">
        <f>(1/'BD-5J Details'!$H$9)*'HW#8 Calculations'!N41</f>
        <v>4.3550417052368839</v>
      </c>
      <c r="P41">
        <f t="shared" si="4"/>
        <v>16.472395030482122</v>
      </c>
      <c r="Q41" s="69">
        <f>I41*0.592484*N41/'BD-5J Details'!$H$9</f>
        <v>1062.6169707127015</v>
      </c>
      <c r="S41" s="68">
        <f t="shared" si="9"/>
        <v>411.75964863341386</v>
      </c>
      <c r="T41" cm="1">
        <f t="array" ref="T41">S41/Linterp(T$2,atmos_h,atmos_aspeed)</f>
        <v>0.38218356744406706</v>
      </c>
      <c r="U41" cm="1">
        <f t="array" ref="U41">1*W/(S*0.5*Linterp(T$2,atmos_h,atmos_rho)*S41*S41)</f>
        <v>0.16001159540757975</v>
      </c>
      <c r="V41">
        <f t="shared" si="5"/>
        <v>2.1587430061222497E-2</v>
      </c>
      <c r="W41">
        <f t="shared" si="11"/>
        <v>121.42049459360562</v>
      </c>
      <c r="X41">
        <f t="shared" si="6"/>
        <v>7.4122577330318071</v>
      </c>
      <c r="Y41" cm="1">
        <f t="array" ref="Y41">(1/('BD-5J Details'!$H$9*Linterp(10000,atmos_h,atmos_aspeed)/Linterp(0,atmos_h,atmos_aspeed)))*'HW#8 Calculations'!X41</f>
        <v>5.9084649411976722</v>
      </c>
      <c r="Z41">
        <f t="shared" si="7"/>
        <v>18.529972899156064</v>
      </c>
      <c r="AA41" s="69" cm="1">
        <f t="array" ref="AA41">S41*0.592484*X41/('BD-5J Details'!$H$9*Linterp(10000,atmos_h,atmos_aspeed)/Linterp(0,atmos_h,atmos_aspeed))</f>
        <v>1441.4350371499402</v>
      </c>
    </row>
    <row r="42" spans="9:27" x14ac:dyDescent="0.35">
      <c r="I42" s="68">
        <f t="shared" si="8"/>
        <v>421.8203492385378</v>
      </c>
      <c r="J42" cm="1">
        <f t="array" ref="J42">I42/Linterp(J$2,atmos_h,atmos_aspeed)</f>
        <v>0.37782287539839471</v>
      </c>
      <c r="K42" cm="1">
        <f t="array" ref="K42">1*W/(S*0.5*Linterp(J$2,atmos_h,atmos_rho)*I42*I42)</f>
        <v>0.11259481588442372</v>
      </c>
      <c r="L42">
        <f t="shared" si="2"/>
        <v>2.078601073897093E-2</v>
      </c>
      <c r="M42">
        <f t="shared" si="10"/>
        <v>166.14805502481227</v>
      </c>
      <c r="N42">
        <f t="shared" si="3"/>
        <v>5.4168554658409667</v>
      </c>
      <c r="O42">
        <f>(1/'BD-5J Details'!$H$9)*'HW#8 Calculations'!N42</f>
        <v>4.166811896800743</v>
      </c>
      <c r="P42">
        <f t="shared" si="4"/>
        <v>16.143141377406899</v>
      </c>
      <c r="Q42" s="69">
        <f>I42*0.592484*N42/'BD-5J Details'!$H$9</f>
        <v>1041.3771620036796</v>
      </c>
      <c r="S42" s="68">
        <f t="shared" si="9"/>
        <v>421.75964863341386</v>
      </c>
      <c r="T42" cm="1">
        <f t="array" ref="T42">S42/Linterp(T$2,atmos_h,atmos_aspeed)</f>
        <v>0.39146528236471295</v>
      </c>
      <c r="U42" cm="1">
        <f t="array" ref="U42">1*W/(S*0.5*Linterp(T$2,atmos_h,atmos_rho)*S42*S42)</f>
        <v>0.15251374000479437</v>
      </c>
      <c r="V42">
        <f t="shared" si="5"/>
        <v>2.1442147335195502E-2</v>
      </c>
      <c r="W42">
        <f t="shared" si="11"/>
        <v>126.53241997127151</v>
      </c>
      <c r="X42">
        <f t="shared" si="6"/>
        <v>7.1128016061365154</v>
      </c>
      <c r="Y42" cm="1">
        <f t="array" ref="Y42">(1/('BD-5J Details'!$H$9*Linterp(10000,atmos_h,atmos_aspeed)/Linterp(0,atmos_h,atmos_aspeed)))*'HW#8 Calculations'!X42</f>
        <v>5.6697622286215976</v>
      </c>
      <c r="Z42">
        <f t="shared" si="7"/>
        <v>18.213198033179744</v>
      </c>
      <c r="AA42" s="69" cm="1">
        <f t="array" ref="AA42">S42*0.592484*X42/('BD-5J Details'!$H$9*Linterp(10000,atmos_h,atmos_aspeed)/Linterp(0,atmos_h,atmos_aspeed))</f>
        <v>1416.7933178559235</v>
      </c>
    </row>
    <row r="43" spans="9:27" x14ac:dyDescent="0.35">
      <c r="I43" s="68">
        <f t="shared" si="8"/>
        <v>431.8203492385378</v>
      </c>
      <c r="J43" cm="1">
        <f t="array" ref="J43">I43/Linterp(J$2,atmos_h,atmos_aspeed)</f>
        <v>0.38677983719695264</v>
      </c>
      <c r="K43" cm="1">
        <f t="array" ref="K43">1*W/(S*0.5*Linterp(J$2,atmos_h,atmos_rho)*I43*I43)</f>
        <v>0.1074403069235861</v>
      </c>
      <c r="L43">
        <f t="shared" si="2"/>
        <v>2.0715692012213731E-2</v>
      </c>
      <c r="M43">
        <f t="shared" si="10"/>
        <v>173.53005910763514</v>
      </c>
      <c r="N43">
        <f t="shared" si="3"/>
        <v>5.1864213302766107</v>
      </c>
      <c r="O43">
        <f>(1/'BD-5J Details'!$H$9)*'HW#8 Calculations'!N43</f>
        <v>3.9895548694435465</v>
      </c>
      <c r="P43">
        <f t="shared" si="4"/>
        <v>15.822830455925837</v>
      </c>
      <c r="Q43" s="69">
        <f>I43*0.592484*N43/'BD-5J Details'!$H$9</f>
        <v>1020.7142395542998</v>
      </c>
      <c r="S43" s="68">
        <f t="shared" si="9"/>
        <v>431.75964863341386</v>
      </c>
      <c r="T43" cm="1">
        <f t="array" ref="T43">S43/Linterp(T$2,atmos_h,atmos_aspeed)</f>
        <v>0.4007469972853589</v>
      </c>
      <c r="U43" cm="1">
        <f t="array" ref="U43">1*W/(S*0.5*Linterp(T$2,atmos_h,atmos_rho)*S43*S43)</f>
        <v>0.14553080158033829</v>
      </c>
      <c r="V43">
        <f t="shared" si="5"/>
        <v>2.1313111280934181E-2</v>
      </c>
      <c r="W43">
        <f t="shared" si="11"/>
        <v>131.80577544095854</v>
      </c>
      <c r="X43">
        <f t="shared" si="6"/>
        <v>6.828228861664325</v>
      </c>
      <c r="Y43" cm="1">
        <f t="array" ref="Y43">(1/('BD-5J Details'!$H$9*Linterp(10000,atmos_h,atmos_aspeed)/Linterp(0,atmos_h,atmos_aspeed)))*'HW#8 Calculations'!X43</f>
        <v>5.4429233700048174</v>
      </c>
      <c r="Z43">
        <f t="shared" si="7"/>
        <v>17.899075840903659</v>
      </c>
      <c r="AA43" s="69" cm="1">
        <f t="array" ref="AA43">S43*0.592484*X43/('BD-5J Details'!$H$9*Linterp(10000,atmos_h,atmos_aspeed)/Linterp(0,atmos_h,atmos_aspeed))</f>
        <v>1392.3579483949286</v>
      </c>
    </row>
    <row r="44" spans="9:27" x14ac:dyDescent="0.35">
      <c r="I44" s="68">
        <f t="shared" si="8"/>
        <v>441.8203492385378</v>
      </c>
      <c r="J44" cm="1">
        <f t="array" ref="J44">I44/Linterp(J$2,atmos_h,atmos_aspeed)</f>
        <v>0.39573679899551056</v>
      </c>
      <c r="K44" cm="1">
        <f t="array" ref="K44">1*W/(S*0.5*Linterp(J$2,atmos_h,atmos_rho)*I44*I44)</f>
        <v>0.10263181746291203</v>
      </c>
      <c r="L44">
        <f t="shared" si="2"/>
        <v>2.0653063977255911E-2</v>
      </c>
      <c r="M44">
        <f t="shared" si="10"/>
        <v>181.11106320656711</v>
      </c>
      <c r="N44">
        <f t="shared" si="3"/>
        <v>4.9693264677790587</v>
      </c>
      <c r="O44">
        <f>(1/'BD-5J Details'!$H$9)*'HW#8 Calculations'!N44</f>
        <v>3.8225588213685064</v>
      </c>
      <c r="P44">
        <f t="shared" si="4"/>
        <v>15.511597231820613</v>
      </c>
      <c r="Q44" s="69">
        <f>I44*0.592484*N44/'BD-5J Details'!$H$9</f>
        <v>1000.6369098659432</v>
      </c>
      <c r="S44" s="68">
        <f t="shared" si="9"/>
        <v>441.75964863341386</v>
      </c>
      <c r="T44" cm="1">
        <f t="array" ref="T44">S44/Linterp(T$2,atmos_h,atmos_aspeed)</f>
        <v>0.41002871220600479</v>
      </c>
      <c r="U44" cm="1">
        <f t="array" ref="U44">1*W/(S*0.5*Linterp(T$2,atmos_h,atmos_rho)*S44*S44)</f>
        <v>0.13901668784051807</v>
      </c>
      <c r="V44">
        <f t="shared" si="5"/>
        <v>2.1198189648885181E-2</v>
      </c>
      <c r="W44">
        <f t="shared" si="11"/>
        <v>137.23798905267864</v>
      </c>
      <c r="X44">
        <f t="shared" si="6"/>
        <v>6.5579509450152029</v>
      </c>
      <c r="Y44" cm="1">
        <f t="array" ref="Y44">(1/('BD-5J Details'!$H$9*Linterp(10000,atmos_h,atmos_aspeed)/Linterp(0,atmos_h,atmos_aspeed)))*'HW#8 Calculations'!X44</f>
        <v>5.227479216223605</v>
      </c>
      <c r="Z44">
        <f t="shared" si="7"/>
        <v>17.588738627559465</v>
      </c>
      <c r="AA44" s="69" cm="1">
        <f t="array" ref="AA44">S44*0.592484*X44/('BD-5J Details'!$H$9*Linterp(10000,atmos_h,atmos_aspeed)/Linterp(0,atmos_h,atmos_aspeed))</f>
        <v>1368.2170100848587</v>
      </c>
    </row>
    <row r="45" spans="9:27" x14ac:dyDescent="0.35">
      <c r="I45" s="68">
        <f t="shared" si="8"/>
        <v>451.8203492385378</v>
      </c>
      <c r="J45" cm="1">
        <f t="array" ref="J45">I45/Linterp(J$2,atmos_h,atmos_aspeed)</f>
        <v>0.40469376079406849</v>
      </c>
      <c r="K45" cm="1">
        <f t="array" ref="K45">1*W/(S*0.5*Linterp(J$2,atmos_h,atmos_rho)*I45*I45)</f>
        <v>9.8139055748980603E-2</v>
      </c>
      <c r="L45">
        <f t="shared" si="2"/>
        <v>2.0597139004324694E-2</v>
      </c>
      <c r="M45">
        <f t="shared" si="10"/>
        <v>188.88937704176737</v>
      </c>
      <c r="N45">
        <f t="shared" si="3"/>
        <v>4.7646935687706318</v>
      </c>
      <c r="O45">
        <f>(1/'BD-5J Details'!$H$9)*'HW#8 Calculations'!N45</f>
        <v>3.6651488990543317</v>
      </c>
      <c r="P45">
        <f t="shared" si="4"/>
        <v>15.209468494736948</v>
      </c>
      <c r="Q45" s="69">
        <f>I45*0.592484*N45/'BD-5J Details'!$H$9</f>
        <v>981.14690111062828</v>
      </c>
      <c r="S45" s="68">
        <f t="shared" si="9"/>
        <v>451.75964863341386</v>
      </c>
      <c r="T45" cm="1">
        <f t="array" ref="T45">S45/Linterp(T$2,atmos_h,atmos_aspeed)</f>
        <v>0.41931042712665068</v>
      </c>
      <c r="U45" cm="1">
        <f t="array" ref="U45">1*W/(S*0.5*Linterp(T$2,atmos_h,atmos_rho)*S45*S45)</f>
        <v>0.13293035078593576</v>
      </c>
      <c r="V45">
        <f t="shared" si="5"/>
        <v>2.1095569645924461E-2</v>
      </c>
      <c r="W45">
        <f t="shared" si="11"/>
        <v>142.82677032806538</v>
      </c>
      <c r="X45">
        <f t="shared" si="6"/>
        <v>6.3013397133656976</v>
      </c>
      <c r="Y45" cm="1">
        <f t="array" ref="Y45">(1/('BD-5J Details'!$H$9*Linterp(10000,atmos_h,atmos_aspeed)/Linterp(0,atmos_h,atmos_aspeed)))*'HW#8 Calculations'!X45</f>
        <v>5.0229290615572344</v>
      </c>
      <c r="Z45">
        <f t="shared" si="7"/>
        <v>17.283067186088811</v>
      </c>
      <c r="AA45" s="69" cm="1">
        <f t="array" ref="AA45">S45*0.592484*X45/('BD-5J Details'!$H$9*Linterp(10000,atmos_h,atmos_aspeed)/Linterp(0,atmos_h,atmos_aspeed))</f>
        <v>1344.439019259411</v>
      </c>
    </row>
    <row r="46" spans="9:27" x14ac:dyDescent="0.35">
      <c r="I46" s="68">
        <f t="shared" si="8"/>
        <v>461.8203492385378</v>
      </c>
      <c r="J46" cm="1">
        <f t="array" ref="J46">I46/Linterp(J$2,atmos_h,atmos_aspeed)</f>
        <v>0.41365072259262642</v>
      </c>
      <c r="K46" cm="1">
        <f t="array" ref="K46">1*W/(S*0.5*Linterp(J$2,atmos_h,atmos_rho)*I46*I46)</f>
        <v>9.3934973717999179E-2</v>
      </c>
      <c r="L46">
        <f t="shared" si="2"/>
        <v>2.0547074315818873E-2</v>
      </c>
      <c r="M46">
        <f t="shared" si="10"/>
        <v>196.86349133127618</v>
      </c>
      <c r="N46">
        <f t="shared" si="3"/>
        <v>4.5716958178167539</v>
      </c>
      <c r="O46">
        <f>(1/'BD-5J Details'!$H$9)*'HW#8 Calculations'!N46</f>
        <v>3.516689090628272</v>
      </c>
      <c r="P46">
        <f t="shared" si="4"/>
        <v>14.91638785673053</v>
      </c>
      <c r="Q46" s="69">
        <f>I46*0.592484*N46/'BD-5J Details'!$H$9</f>
        <v>962.24057576105906</v>
      </c>
      <c r="S46" s="68">
        <f t="shared" si="9"/>
        <v>461.75964863341386</v>
      </c>
      <c r="T46" cm="1">
        <f t="array" ref="T46">S46/Linterp(T$2,atmos_h,atmos_aspeed)</f>
        <v>0.42859214204729656</v>
      </c>
      <c r="U46" cm="1">
        <f t="array" ref="U46">1*W/(S*0.5*Linterp(T$2,atmos_h,atmos_rho)*S46*S46)</f>
        <v>0.12723513847425713</v>
      </c>
      <c r="V46">
        <f t="shared" si="5"/>
        <v>2.1003704388678931E-2</v>
      </c>
      <c r="W46">
        <f t="shared" si="11"/>
        <v>148.57007408873656</v>
      </c>
      <c r="X46">
        <f t="shared" si="6"/>
        <v>6.0577475344224192</v>
      </c>
      <c r="Y46" cm="1">
        <f t="array" ref="Y46">(1/('BD-5J Details'!$H$9*Linterp(10000,atmos_h,atmos_aspeed)/Linterp(0,atmos_h,atmos_aspeed)))*'HW#8 Calculations'!X46</f>
        <v>4.8287566648227767</v>
      </c>
      <c r="Z46">
        <f t="shared" si="7"/>
        <v>16.982735125901865</v>
      </c>
      <c r="AA46" s="69" cm="1">
        <f t="array" ref="AA46">S46*0.592484*X46/('BD-5J Details'!$H$9*Linterp(10000,atmos_h,atmos_aspeed)/Linterp(0,atmos_h,atmos_aspeed))</f>
        <v>1321.0763755745622</v>
      </c>
    </row>
    <row r="47" spans="9:27" x14ac:dyDescent="0.35">
      <c r="I47" s="68">
        <f t="shared" si="8"/>
        <v>471.8203492385378</v>
      </c>
      <c r="J47" cm="1">
        <f t="array" ref="J47">I47/Linterp(J$2,atmos_h,atmos_aspeed)</f>
        <v>0.42260768439118435</v>
      </c>
      <c r="K47" cm="1">
        <f t="array" ref="K47">1*W/(S*0.5*Linterp(J$2,atmos_h,atmos_rho)*I47*I47)</f>
        <v>8.9995358942646903E-2</v>
      </c>
      <c r="L47">
        <f t="shared" si="2"/>
        <v>2.0502148207135383E-2</v>
      </c>
      <c r="M47">
        <f t="shared" si="10"/>
        <v>205.03205502164917</v>
      </c>
      <c r="N47">
        <f t="shared" si="3"/>
        <v>4.3895575250658725</v>
      </c>
      <c r="O47">
        <f>(1/'BD-5J Details'!$H$9)*'HW#8 Calculations'!N47</f>
        <v>3.3765827115891325</v>
      </c>
      <c r="P47">
        <f t="shared" si="4"/>
        <v>14.632235694222658</v>
      </c>
      <c r="Q47" s="69">
        <f>I47*0.592484*N47/'BD-5J Details'!$H$9</f>
        <v>943.91021702531782</v>
      </c>
      <c r="S47" s="68">
        <f t="shared" si="9"/>
        <v>471.75964863341386</v>
      </c>
      <c r="T47" cm="1">
        <f t="array" ref="T47">S47/Linterp(T$2,atmos_h,atmos_aspeed)</f>
        <v>0.43787385696794245</v>
      </c>
      <c r="U47" cm="1">
        <f t="array" ref="U47">1*W/(S*0.5*Linterp(T$2,atmos_h,atmos_rho)*S47*S47)</f>
        <v>0.12189824192992735</v>
      </c>
      <c r="V47">
        <f t="shared" si="5"/>
        <v>2.0921269245907641E-2</v>
      </c>
      <c r="W47">
        <f t="shared" si="11"/>
        <v>154.46606959385619</v>
      </c>
      <c r="X47">
        <f t="shared" si="6"/>
        <v>5.8265223059433442</v>
      </c>
      <c r="Y47" cm="1">
        <f t="array" ref="Y47">(1/('BD-5J Details'!$H$9*Linterp(10000,atmos_h,atmos_aspeed)/Linterp(0,atmos_h,atmos_aspeed)))*'HW#8 Calculations'!X47</f>
        <v>4.644442221748192</v>
      </c>
      <c r="Z47">
        <f t="shared" si="7"/>
        <v>16.688245975281529</v>
      </c>
      <c r="AA47" s="69" cm="1">
        <f t="array" ref="AA47">S47*0.592484*X47/('BD-5J Details'!$H$9*Linterp(10000,atmos_h,atmos_aspeed)/Linterp(0,atmos_h,atmos_aspeed))</f>
        <v>1298.1682481814555</v>
      </c>
    </row>
    <row r="48" spans="9:27" x14ac:dyDescent="0.35">
      <c r="I48" s="68">
        <f t="shared" si="8"/>
        <v>481.8203492385378</v>
      </c>
      <c r="J48" cm="1">
        <f t="array" ref="J48">I48/Linterp(J$2,atmos_h,atmos_aspeed)</f>
        <v>0.43156464618974227</v>
      </c>
      <c r="K48" cm="1">
        <f t="array" ref="K48">1*W/(S*0.5*Linterp(J$2,atmos_h,atmos_rho)*I48*I48)</f>
        <v>8.6298485235163119E-2</v>
      </c>
      <c r="L48">
        <f t="shared" si="2"/>
        <v>2.0461740570340788E-2</v>
      </c>
      <c r="M48">
        <f t="shared" si="10"/>
        <v>213.39385579160913</v>
      </c>
      <c r="N48">
        <f t="shared" si="3"/>
        <v>4.2175534841963751</v>
      </c>
      <c r="O48">
        <f>(1/'BD-5J Details'!$H$9)*'HW#8 Calculations'!N48</f>
        <v>3.2442719109202884</v>
      </c>
      <c r="P48">
        <f t="shared" si="4"/>
        <v>14.356845022565262</v>
      </c>
      <c r="Q48" s="69">
        <f>I48*0.592484*N48/'BD-5J Details'!$H$9</f>
        <v>926.14505289844988</v>
      </c>
      <c r="S48" s="68">
        <f t="shared" si="9"/>
        <v>481.75964863341386</v>
      </c>
      <c r="T48" cm="1">
        <f t="array" ref="T48">S48/Linterp(T$2,atmos_h,atmos_aspeed)</f>
        <v>0.4471555718885884</v>
      </c>
      <c r="U48" cm="1">
        <f t="array" ref="U48">1*W/(S*0.5*Linterp(T$2,atmos_h,atmos_rho)*S48*S48)</f>
        <v>0.11689022156863017</v>
      </c>
      <c r="V48">
        <f t="shared" si="5"/>
        <v>2.0847126081698534E-2</v>
      </c>
      <c r="W48">
        <f t="shared" si="11"/>
        <v>160.51311411461941</v>
      </c>
      <c r="X48">
        <f t="shared" si="6"/>
        <v>5.6070184979236455</v>
      </c>
      <c r="Y48" cm="1">
        <f t="array" ref="Y48">(1/('BD-5J Details'!$H$9*Linterp(10000,atmos_h,atmos_aspeed)/Linterp(0,atmos_h,atmos_aspeed)))*'HW#8 Calculations'!X48</f>
        <v>4.4694711669285301</v>
      </c>
      <c r="Z48">
        <f t="shared" si="7"/>
        <v>16.399964121748152</v>
      </c>
      <c r="AA48" s="69" cm="1">
        <f t="array" ref="AA48">S48*0.592484*X48/('BD-5J Details'!$H$9*Linterp(10000,atmos_h,atmos_aspeed)/Linterp(0,atmos_h,atmos_aspeed))</f>
        <v>1275.7429825580793</v>
      </c>
    </row>
    <row r="49" spans="9:27" x14ac:dyDescent="0.35">
      <c r="I49" s="68">
        <f t="shared" si="8"/>
        <v>491.8203492385378</v>
      </c>
      <c r="J49" cm="1">
        <f t="array" ref="J49">I49/Linterp(J$2,atmos_h,atmos_aspeed)</f>
        <v>0.4405216079883002</v>
      </c>
      <c r="K49" cm="1">
        <f t="array" ref="K49">1*W/(S*0.5*Linterp(J$2,atmos_h,atmos_rho)*I49*I49)</f>
        <v>8.2824812464742756E-2</v>
      </c>
      <c r="L49">
        <f t="shared" si="2"/>
        <v>2.0425316872708828E-2</v>
      </c>
      <c r="M49">
        <f t="shared" si="10"/>
        <v>221.94780330185733</v>
      </c>
      <c r="N49">
        <f t="shared" si="3"/>
        <v>4.0550074684720636</v>
      </c>
      <c r="O49">
        <f>(1/'BD-5J Details'!$H$9)*'HW#8 Calculations'!N49</f>
        <v>3.1192365142092795</v>
      </c>
      <c r="P49">
        <f t="shared" si="4"/>
        <v>14.090014103607839</v>
      </c>
      <c r="Q49" s="69">
        <f>I49*0.592484*N49/'BD-5J Details'!$H$9</f>
        <v>908.93206946341581</v>
      </c>
      <c r="S49" s="68">
        <f t="shared" si="9"/>
        <v>491.75964863341386</v>
      </c>
      <c r="T49" cm="1">
        <f t="array" ref="T49">S49/Linterp(T$2,atmos_h,atmos_aspeed)</f>
        <v>0.45643728680923429</v>
      </c>
      <c r="U49" cm="1">
        <f t="array" ref="U49">1*W/(S*0.5*Linterp(T$2,atmos_h,atmos_rho)*S49*S49)</f>
        <v>0.11218460033538312</v>
      </c>
      <c r="V49">
        <f t="shared" si="5"/>
        <v>2.0780293842249397E-2</v>
      </c>
      <c r="W49">
        <f t="shared" si="11"/>
        <v>166.70973023135821</v>
      </c>
      <c r="X49">
        <f t="shared" si="6"/>
        <v>5.3986051009199549</v>
      </c>
      <c r="Y49" cm="1">
        <f t="array" ref="Y49">(1/('BD-5J Details'!$H$9*Linterp(10000,atmos_h,atmos_aspeed)/Linterp(0,atmos_h,atmos_aspeed)))*'HW#8 Calculations'!X49</f>
        <v>4.3033405096006527</v>
      </c>
      <c r="Z49">
        <f t="shared" si="7"/>
        <v>16.118140537768006</v>
      </c>
      <c r="AA49" s="69" cm="1">
        <f t="array" ref="AA49">S49*0.592484*X49/('BD-5J Details'!$H$9*Linterp(10000,atmos_h,atmos_aspeed)/Linterp(0,atmos_h,atmos_aspeed))</f>
        <v>1253.820101696087</v>
      </c>
    </row>
    <row r="50" spans="9:27" x14ac:dyDescent="0.35">
      <c r="I50" s="68">
        <f t="shared" si="8"/>
        <v>501.8203492385378</v>
      </c>
      <c r="J50" cm="1">
        <f t="array" ref="J50">I50/Linterp(J$2,atmos_h,atmos_aspeed)</f>
        <v>0.44947856978685813</v>
      </c>
      <c r="K50" cm="1">
        <f t="array" ref="K50">1*W/(S*0.5*Linterp(J$2,atmos_h,atmos_rho)*I50*I50)</f>
        <v>7.9556727823382078E-2</v>
      </c>
      <c r="L50">
        <f t="shared" si="2"/>
        <v>2.039241492240175E-2</v>
      </c>
      <c r="M50">
        <f t="shared" si="10"/>
        <v>230.69291475770697</v>
      </c>
      <c r="N50">
        <f t="shared" si="3"/>
        <v>3.901290167256569</v>
      </c>
      <c r="O50">
        <f>(1/'BD-5J Details'!$H$9)*'HW#8 Calculations'!N50</f>
        <v>3.0009924363512068</v>
      </c>
      <c r="P50">
        <f t="shared" si="4"/>
        <v>13.831516431960656</v>
      </c>
      <c r="Q50" s="69">
        <f>I50*0.592484*N50/'BD-5J Details'!$H$9</f>
        <v>892.25665509448459</v>
      </c>
      <c r="S50" s="68">
        <f t="shared" si="9"/>
        <v>501.75964863341386</v>
      </c>
      <c r="T50" cm="1">
        <f t="array" ref="T50">S50/Linterp(T$2,atmos_h,atmos_aspeed)</f>
        <v>0.46571900172988018</v>
      </c>
      <c r="U50" cm="1">
        <f t="array" ref="U50">1*W/(S*0.5*Linterp(T$2,atmos_h,atmos_rho)*S50*S50)</f>
        <v>0.10775751302781429</v>
      </c>
      <c r="V50">
        <f t="shared" si="5"/>
        <v>2.0719924260064252E-2</v>
      </c>
      <c r="W50">
        <f t="shared" si="11"/>
        <v>173.05458626578022</v>
      </c>
      <c r="X50">
        <f t="shared" si="6"/>
        <v>5.2006711837024904</v>
      </c>
      <c r="Y50" cm="1">
        <f t="array" ref="Y50">(1/('BD-5J Details'!$H$9*Linterp(10000,atmos_h,atmos_aspeed)/Linterp(0,atmos_h,atmos_aspeed)))*'HW#8 Calculations'!X50</f>
        <v>4.1455632637634432</v>
      </c>
      <c r="Z50">
        <f t="shared" si="7"/>
        <v>15.842934119089353</v>
      </c>
      <c r="AA50" s="69" cm="1">
        <f t="array" ref="AA50">S50*0.592484*X50/('BD-5J Details'!$H$9*Linterp(10000,atmos_h,atmos_aspeed)/Linterp(0,atmos_h,atmos_aspeed))</f>
        <v>1232.411965996653</v>
      </c>
    </row>
    <row r="51" spans="9:27" x14ac:dyDescent="0.35">
      <c r="I51" s="68">
        <f t="shared" si="8"/>
        <v>511.8203492385378</v>
      </c>
      <c r="J51" cm="1">
        <f t="array" ref="J51">I51/Linterp(J$2,atmos_h,atmos_aspeed)</f>
        <v>0.45843553158541606</v>
      </c>
      <c r="K51" cm="1">
        <f t="array" ref="K51">1*W/(S*0.5*Linterp(J$2,atmos_h,atmos_rho)*I51*I51)</f>
        <v>7.6478322126213347E-2</v>
      </c>
      <c r="L51">
        <f t="shared" si="2"/>
        <v>2.0362633892824934E-2</v>
      </c>
      <c r="M51">
        <f t="shared" si="10"/>
        <v>239.62830242664253</v>
      </c>
      <c r="N51">
        <f t="shared" si="3"/>
        <v>3.7558167832679827</v>
      </c>
      <c r="O51">
        <f>(1/'BD-5J Details'!$H$9)*'HW#8 Calculations'!N51</f>
        <v>2.8890898332830632</v>
      </c>
      <c r="P51">
        <f t="shared" si="4"/>
        <v>13.581108619774049</v>
      </c>
      <c r="Q51" s="69">
        <f>I51*0.592484*N51/'BD-5J Details'!$H$9</f>
        <v>876.1031090960953</v>
      </c>
      <c r="S51" s="68">
        <f t="shared" si="9"/>
        <v>511.75964863341386</v>
      </c>
      <c r="T51" cm="1">
        <f t="array" ref="T51">S51/Linterp(T$2,atmos_h,atmos_aspeed)</f>
        <v>0.47500071665052607</v>
      </c>
      <c r="U51" cm="1">
        <f t="array" ref="U51">1*W/(S*0.5*Linterp(T$2,atmos_h,atmos_rho)*S51*S51)</f>
        <v>0.10358740310919654</v>
      </c>
      <c r="V51">
        <f t="shared" si="5"/>
        <v>2.0665281705140245E-2</v>
      </c>
      <c r="W51">
        <f t="shared" si="11"/>
        <v>179.54647936313614</v>
      </c>
      <c r="X51">
        <f t="shared" si="6"/>
        <v>5.0126296165336273</v>
      </c>
      <c r="Y51" cm="1">
        <f t="array" ref="Y51">(1/('BD-5J Details'!$H$9*Linterp(10000,atmos_h,atmos_aspeed)/Linterp(0,atmos_h,atmos_aspeed)))*'HW#8 Calculations'!X51</f>
        <v>3.9956714160806657</v>
      </c>
      <c r="Z51">
        <f t="shared" si="7"/>
        <v>15.57442934813543</v>
      </c>
      <c r="AA51" s="69" cm="1">
        <f t="array" ref="AA51">S51*0.592484*X51/('BD-5J Details'!$H$9*Linterp(10000,atmos_h,atmos_aspeed)/Linterp(0,atmos_h,atmos_aspeed))</f>
        <v>1211.5251472948007</v>
      </c>
    </row>
    <row r="52" spans="9:27" x14ac:dyDescent="0.35">
      <c r="I52" s="68">
        <f t="shared" si="8"/>
        <v>521.8203492385378</v>
      </c>
      <c r="J52" cm="1">
        <f t="array" ref="J52">I52/Linterp(J$2,atmos_h,atmos_aspeed)</f>
        <v>0.46739249338397398</v>
      </c>
      <c r="K52" cm="1">
        <f t="array" ref="K52">1*W/(S*0.5*Linterp(J$2,atmos_h,atmos_rho)*I52*I52)</f>
        <v>7.3575195827745035E-2</v>
      </c>
      <c r="L52">
        <f t="shared" si="2"/>
        <v>2.0335625185347643E-2</v>
      </c>
      <c r="M52">
        <f t="shared" si="10"/>
        <v>248.75316281402561</v>
      </c>
      <c r="N52">
        <f t="shared" si="3"/>
        <v>3.6180444494402817</v>
      </c>
      <c r="O52">
        <f>(1/'BD-5J Details'!$H$9)*'HW#8 Calculations'!N52</f>
        <v>2.7831111149540626</v>
      </c>
      <c r="P52">
        <f t="shared" si="4"/>
        <v>13.338536597941062</v>
      </c>
      <c r="Q52" s="69">
        <f>I52*0.592484*N52/'BD-5J Details'!$H$9</f>
        <v>860.45504173595521</v>
      </c>
      <c r="S52" s="68">
        <f t="shared" si="9"/>
        <v>521.75964863341392</v>
      </c>
      <c r="T52" cm="1">
        <f t="array" ref="T52">S52/Linterp(T$2,atmos_h,atmos_aspeed)</f>
        <v>0.48428243157117201</v>
      </c>
      <c r="U52" cm="1">
        <f t="array" ref="U52">1*W/(S*0.5*Linterp(T$2,atmos_h,atmos_rho)*S52*S52)</f>
        <v>9.9654759800991047E-2</v>
      </c>
      <c r="V52">
        <f t="shared" si="5"/>
        <v>2.0615726411361581E-2</v>
      </c>
      <c r="W52">
        <f t="shared" si="11"/>
        <v>186.1843208219835</v>
      </c>
      <c r="X52">
        <f t="shared" si="6"/>
        <v>4.833919397866576</v>
      </c>
      <c r="Y52" cm="1">
        <f t="array" ref="Y52">(1/('BD-5J Details'!$H$9*Linterp(10000,atmos_h,atmos_aspeed)/Linterp(0,atmos_h,atmos_aspeed)))*'HW#8 Calculations'!X52</f>
        <v>3.8532177805409109</v>
      </c>
      <c r="Z52">
        <f t="shared" si="7"/>
        <v>15.312650889685406</v>
      </c>
      <c r="AA52" s="69" cm="1">
        <f t="array" ref="AA52">S52*0.592484*X52/('BD-5J Details'!$H$9*Linterp(10000,atmos_h,atmos_aspeed)/Linterp(0,atmos_h,atmos_aspeed))</f>
        <v>1191.1615642483216</v>
      </c>
    </row>
    <row r="53" spans="9:27" x14ac:dyDescent="0.35">
      <c r="I53" s="70">
        <f t="shared" si="8"/>
        <v>531.8203492385378</v>
      </c>
      <c r="J53" s="32" cm="1">
        <f t="array" ref="J53">I53/Linterp(J$2,atmos_h,atmos_aspeed)</f>
        <v>0.47634945518253191</v>
      </c>
      <c r="K53" s="32" cm="1">
        <f t="array" ref="K53">1*W/(S*0.5*Linterp(J$2,atmos_h,atmos_rho)*I53*I53)</f>
        <v>7.0834290326821939E-2</v>
      </c>
      <c r="L53" s="32">
        <f t="shared" si="2"/>
        <v>2.031108479453848E-2</v>
      </c>
      <c r="M53" s="32">
        <f t="shared" si="10"/>
        <v>258.06676724991172</v>
      </c>
      <c r="N53" s="32">
        <f t="shared" si="3"/>
        <v>3.4874695784771093</v>
      </c>
      <c r="O53">
        <f>(1/'BD-5J Details'!$H$9)*'HW#8 Calculations'!N53</f>
        <v>2.6826689065208531</v>
      </c>
      <c r="P53" s="32">
        <f t="shared" si="4"/>
        <v>13.103540469408516</v>
      </c>
      <c r="Q53" s="69">
        <f>I53*0.592484*N53/'BD-5J Details'!$H$9</f>
        <v>845.29568732705616</v>
      </c>
      <c r="S53" s="70">
        <f t="shared" si="9"/>
        <v>531.75964863341392</v>
      </c>
      <c r="T53" s="32" cm="1">
        <f t="array" ref="T53">S53/Linterp(T$2,atmos_h,atmos_aspeed)</f>
        <v>0.4935641464918179</v>
      </c>
      <c r="U53" s="32" cm="1">
        <f t="array" ref="U53">1*W/(S*0.5*Linterp(T$2,atmos_h,atmos_rho)*S53*S53)</f>
        <v>9.5941889453232662E-2</v>
      </c>
      <c r="V53" s="32">
        <f t="shared" si="5"/>
        <v>2.0570700461415091E-2</v>
      </c>
      <c r="W53" s="32">
        <f t="shared" si="11"/>
        <v>192.96712333665411</v>
      </c>
      <c r="X53" s="32">
        <f t="shared" si="6"/>
        <v>4.6640069273865006</v>
      </c>
      <c r="Y53" cm="1">
        <f t="array" ref="Y53">(1/('BD-5J Details'!$H$9*Linterp(10000,atmos_h,atmos_aspeed)/Linterp(0,atmos_h,atmos_aspeed)))*'HW#8 Calculations'!X53</f>
        <v>3.7177770132251773</v>
      </c>
      <c r="Z53" s="32">
        <f t="shared" si="7"/>
        <v>15.057575632423262</v>
      </c>
      <c r="AA53" s="69" cm="1">
        <f t="array" ref="AA53">S53*0.592484*X53/('BD-5J Details'!$H$9*Linterp(10000,atmos_h,atmos_aspeed)/Linterp(0,atmos_h,atmos_aspeed))</f>
        <v>1171.3194190423549</v>
      </c>
    </row>
    <row r="54" spans="9:27" x14ac:dyDescent="0.35">
      <c r="I54" s="2"/>
    </row>
    <row r="55" spans="9:27" x14ac:dyDescent="0.35">
      <c r="I55" s="2"/>
    </row>
    <row r="56" spans="9:27" x14ac:dyDescent="0.35">
      <c r="I56" s="2"/>
    </row>
    <row r="57" spans="9:27" x14ac:dyDescent="0.35">
      <c r="I57" s="2"/>
    </row>
    <row r="58" spans="9:27" x14ac:dyDescent="0.35">
      <c r="I58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1CA4B-A6C1-48E0-9431-2B24867A0794}">
  <dimension ref="A2:G24"/>
  <sheetViews>
    <sheetView workbookViewId="0">
      <selection activeCell="H22" sqref="H22"/>
    </sheetView>
  </sheetViews>
  <sheetFormatPr defaultRowHeight="14.5" x14ac:dyDescent="0.35"/>
  <cols>
    <col min="1" max="1" width="48.7265625" customWidth="1"/>
    <col min="4" max="4" width="12.7265625" customWidth="1"/>
  </cols>
  <sheetData>
    <row r="2" spans="1:7" x14ac:dyDescent="0.35">
      <c r="A2" s="71" t="s">
        <v>133</v>
      </c>
    </row>
    <row r="3" spans="1:7" x14ac:dyDescent="0.35">
      <c r="A3" s="71" t="s">
        <v>134</v>
      </c>
    </row>
    <row r="4" spans="1:7" ht="15" thickBot="1" x14ac:dyDescent="0.4"/>
    <row r="5" spans="1:7" ht="16" thickBot="1" x14ac:dyDescent="0.4">
      <c r="A5" s="72" t="s">
        <v>135</v>
      </c>
      <c r="B5" s="73" t="s">
        <v>99</v>
      </c>
      <c r="C5" s="73" t="s">
        <v>100</v>
      </c>
      <c r="D5" s="73" t="s">
        <v>136</v>
      </c>
    </row>
    <row r="6" spans="1:7" ht="18" thickBot="1" x14ac:dyDescent="0.4">
      <c r="A6" s="74" t="s">
        <v>137</v>
      </c>
      <c r="B6" s="75" t="s">
        <v>59</v>
      </c>
      <c r="C6" s="76" t="s">
        <v>4</v>
      </c>
      <c r="D6" s="77">
        <f>0+POWER(V_1,2)/(2*g)</f>
        <v>996.08212846984793</v>
      </c>
    </row>
    <row r="7" spans="1:7" ht="18" thickBot="1" x14ac:dyDescent="0.4">
      <c r="A7" s="74" t="s">
        <v>138</v>
      </c>
      <c r="B7" s="75" t="s">
        <v>139</v>
      </c>
      <c r="C7" s="76" t="s">
        <v>4</v>
      </c>
      <c r="D7" s="77">
        <f>(T_max_SL-F7)*V_1/W</f>
        <v>35.711672283964361</v>
      </c>
      <c r="E7" t="s">
        <v>154</v>
      </c>
      <c r="F7" cm="1">
        <f t="array" ref="F7">Linterp(V_1,vel_SL, vel_SL_D)</f>
        <v>75.048570249825516</v>
      </c>
      <c r="G7" t="s">
        <v>63</v>
      </c>
    </row>
    <row r="8" spans="1:7" ht="16" thickBot="1" x14ac:dyDescent="0.4">
      <c r="A8" s="74" t="s">
        <v>140</v>
      </c>
      <c r="B8" s="75" t="s">
        <v>59</v>
      </c>
      <c r="C8" s="76" t="s">
        <v>4</v>
      </c>
      <c r="D8" s="77">
        <f>D6</f>
        <v>996.08212846984793</v>
      </c>
    </row>
    <row r="9" spans="1:7" ht="16" thickBot="1" x14ac:dyDescent="0.4">
      <c r="A9" s="74" t="s">
        <v>141</v>
      </c>
      <c r="B9" s="75" t="s">
        <v>139</v>
      </c>
      <c r="C9" s="76" t="s">
        <v>4</v>
      </c>
      <c r="D9" s="77">
        <f>SQRT((D6-0)*(2*g))</f>
        <v>253.17166666666665</v>
      </c>
    </row>
    <row r="10" spans="1:7" ht="16" thickBot="1" x14ac:dyDescent="0.4">
      <c r="A10" s="74" t="s">
        <v>142</v>
      </c>
      <c r="B10" s="75" t="s">
        <v>108</v>
      </c>
      <c r="C10" s="76" t="s">
        <v>6</v>
      </c>
      <c r="D10" s="78" cm="1">
        <f t="array" ref="D10">D9/Linterp(0, atmos_h, atmos_aspeed)</f>
        <v>0.22676489468105751</v>
      </c>
    </row>
    <row r="11" spans="1:7" ht="16" thickBot="1" x14ac:dyDescent="0.4">
      <c r="A11" s="79"/>
      <c r="B11" s="80"/>
      <c r="C11" s="80"/>
      <c r="D11" s="80"/>
    </row>
    <row r="12" spans="1:7" ht="16" thickBot="1" x14ac:dyDescent="0.4">
      <c r="A12" s="81" t="s">
        <v>143</v>
      </c>
      <c r="B12" s="73" t="s">
        <v>99</v>
      </c>
      <c r="C12" s="73"/>
      <c r="D12" s="73" t="s">
        <v>136</v>
      </c>
    </row>
    <row r="13" spans="1:7" ht="18" thickBot="1" x14ac:dyDescent="0.4">
      <c r="A13" s="74" t="s">
        <v>137</v>
      </c>
      <c r="B13" s="75" t="s">
        <v>59</v>
      </c>
      <c r="C13" s="76" t="s">
        <v>4</v>
      </c>
      <c r="D13" s="77">
        <f>10000+POWER(V_2,2)/(2*g)</f>
        <v>11355.778452639515</v>
      </c>
    </row>
    <row r="14" spans="1:7" ht="18" thickBot="1" x14ac:dyDescent="0.4">
      <c r="A14" s="74" t="s">
        <v>138</v>
      </c>
      <c r="B14" s="75" t="s">
        <v>139</v>
      </c>
      <c r="C14" s="76" t="s">
        <v>4</v>
      </c>
      <c r="D14" s="77" cm="1">
        <f t="array" ref="D14">(T_max_SL*Linterp(10000,atmos_h,atmos_dr)-F14)*V_2/W</f>
        <v>24.255125500603405</v>
      </c>
      <c r="E14" t="s">
        <v>154</v>
      </c>
      <c r="F14" cm="1">
        <f t="array" ref="F14">Linterp(V_2,vel_10k, vel_10k_D)</f>
        <v>75.264721444875377</v>
      </c>
      <c r="G14" t="s">
        <v>63</v>
      </c>
    </row>
    <row r="15" spans="1:7" ht="16" thickBot="1" x14ac:dyDescent="0.4">
      <c r="A15" s="74" t="s">
        <v>140</v>
      </c>
      <c r="B15" s="75" t="s">
        <v>59</v>
      </c>
      <c r="C15" s="76" t="s">
        <v>4</v>
      </c>
      <c r="D15" s="77">
        <f>D13</f>
        <v>11355.778452639515</v>
      </c>
    </row>
    <row r="16" spans="1:7" ht="16" thickBot="1" x14ac:dyDescent="0.4">
      <c r="A16" s="74" t="s">
        <v>141</v>
      </c>
      <c r="B16" s="75" t="s">
        <v>139</v>
      </c>
      <c r="C16" s="76" t="s">
        <v>4</v>
      </c>
      <c r="D16" s="77">
        <f>SQRT((D13-0)*(2*g))</f>
        <v>854.82257332761606</v>
      </c>
    </row>
    <row r="17" spans="1:4" ht="16" thickBot="1" x14ac:dyDescent="0.4">
      <c r="A17" s="74" t="s">
        <v>142</v>
      </c>
      <c r="B17" s="75" t="s">
        <v>108</v>
      </c>
      <c r="C17" s="76" t="s">
        <v>6</v>
      </c>
      <c r="D17" s="78" cm="1">
        <f t="array" ref="D17">D16/Linterp(10000, atmos_h, atmos_aspeed)</f>
        <v>0.79342194333598581</v>
      </c>
    </row>
    <row r="20" spans="1:4" ht="15.5" x14ac:dyDescent="0.35">
      <c r="A20" s="83" t="s">
        <v>144</v>
      </c>
      <c r="B20" s="82" t="s">
        <v>145</v>
      </c>
      <c r="C20">
        <v>32.173999999999999</v>
      </c>
      <c r="D20" t="s">
        <v>146</v>
      </c>
    </row>
    <row r="21" spans="1:4" ht="15.5" x14ac:dyDescent="0.35">
      <c r="A21" s="83" t="s">
        <v>147</v>
      </c>
      <c r="B21" s="82" t="s">
        <v>148</v>
      </c>
      <c r="C21">
        <v>150</v>
      </c>
      <c r="D21" t="s">
        <v>149</v>
      </c>
    </row>
    <row r="22" spans="1:4" ht="15.5" x14ac:dyDescent="0.35">
      <c r="A22" s="83" t="s">
        <v>150</v>
      </c>
      <c r="B22" s="82" t="s">
        <v>148</v>
      </c>
      <c r="C22">
        <v>175</v>
      </c>
      <c r="D22" t="s">
        <v>149</v>
      </c>
    </row>
    <row r="23" spans="1:4" ht="15.5" x14ac:dyDescent="0.35">
      <c r="A23" s="83" t="s">
        <v>147</v>
      </c>
      <c r="B23" s="82" t="s">
        <v>151</v>
      </c>
      <c r="C23" s="2">
        <f>C21*6076.12/3600</f>
        <v>253.17166666666665</v>
      </c>
      <c r="D23" t="s">
        <v>152</v>
      </c>
    </row>
    <row r="24" spans="1:4" ht="15.5" x14ac:dyDescent="0.35">
      <c r="A24" s="83" t="s">
        <v>150</v>
      </c>
      <c r="B24" s="82" t="s">
        <v>153</v>
      </c>
      <c r="C24" s="2">
        <f>C22*6076.12/3600</f>
        <v>295.36694444444447</v>
      </c>
      <c r="D24" t="s">
        <v>152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1CFBC-6E00-428C-A670-D9628A77F61C}">
  <dimension ref="A2:J24"/>
  <sheetViews>
    <sheetView workbookViewId="0">
      <selection activeCell="B24" sqref="B24"/>
    </sheetView>
  </sheetViews>
  <sheetFormatPr defaultRowHeight="14.5" x14ac:dyDescent="0.35"/>
  <cols>
    <col min="1" max="1" width="48.54296875" customWidth="1"/>
  </cols>
  <sheetData>
    <row r="2" spans="1:10" x14ac:dyDescent="0.35">
      <c r="A2" s="84" t="s">
        <v>155</v>
      </c>
    </row>
    <row r="3" spans="1:10" x14ac:dyDescent="0.35">
      <c r="A3" s="84" t="s">
        <v>156</v>
      </c>
    </row>
    <row r="4" spans="1:10" ht="15" thickBot="1" x14ac:dyDescent="0.4">
      <c r="I4" t="s">
        <v>170</v>
      </c>
    </row>
    <row r="5" spans="1:10" ht="16" thickBot="1" x14ac:dyDescent="0.4">
      <c r="A5" s="53" t="s">
        <v>157</v>
      </c>
      <c r="B5" s="54" t="s">
        <v>99</v>
      </c>
      <c r="C5" s="54" t="s">
        <v>100</v>
      </c>
      <c r="D5" s="54" t="s">
        <v>101</v>
      </c>
      <c r="E5" s="86">
        <v>10000</v>
      </c>
      <c r="F5" s="87" t="s">
        <v>59</v>
      </c>
      <c r="H5" t="s">
        <v>8</v>
      </c>
      <c r="I5">
        <v>0</v>
      </c>
      <c r="J5">
        <v>10000</v>
      </c>
    </row>
    <row r="6" spans="1:10" ht="16" thickBot="1" x14ac:dyDescent="0.4">
      <c r="A6" s="58" t="s">
        <v>158</v>
      </c>
      <c r="B6" s="56" t="s">
        <v>106</v>
      </c>
      <c r="C6" s="56" t="s">
        <v>4</v>
      </c>
      <c r="D6" s="61" cm="1">
        <f t="array" ref="D6">SQRT( (( Linterp(0,atmos_h,atmos_dr)*T_max_SL/S)-(W/S)*SQRT( POWER(Linterp(0,atmos_h,atmos_dr)*T_max_SL/W,2 ) - 4*CD0*K)) / (Linterp(0, atmos_h, atmos_rho)*CD0) )</f>
        <v>75.349812048217402</v>
      </c>
      <c r="E6" s="61" cm="1">
        <f t="array" ref="E6">SQRT( (( Linterp(10000,atmos_h,atmos_dr)*T_max_SL/S)-(W/S)*SQRT( POWER(Linterp(10000,atmos_h,atmos_dr)*T_max_SL/W,2 ) - 4*CD0*K)) / (Linterp(10000, atmos_h, atmos_rho)*CD0) )</f>
        <v>103.21299973212039</v>
      </c>
      <c r="F6" s="85"/>
      <c r="I6">
        <f>T_max_SL</f>
        <v>202</v>
      </c>
      <c r="J6" cm="1">
        <f t="array" ref="J6">T_max_SL*Linterp(J5,atmos_h,atmos_dr)</f>
        <v>149.17147831505383</v>
      </c>
    </row>
    <row r="7" spans="1:10" ht="16" thickBot="1" x14ac:dyDescent="0.4">
      <c r="A7" s="58" t="s">
        <v>107</v>
      </c>
      <c r="B7" s="59" t="s">
        <v>108</v>
      </c>
      <c r="C7" s="59" t="s">
        <v>6</v>
      </c>
      <c r="D7" s="62" cm="1">
        <f t="array" ref="D7">D6/Linterp(0, atmos_h, atmos_aspeed)</f>
        <v>6.7490538804440323E-2</v>
      </c>
      <c r="E7" s="62" cm="1">
        <f t="array" ref="E7">E6/Linterp(10000, atmos_h, atmos_aspeed)</f>
        <v>9.5799363961824313E-2</v>
      </c>
      <c r="F7" s="85"/>
      <c r="H7" t="s">
        <v>77</v>
      </c>
      <c r="I7">
        <v>0</v>
      </c>
    </row>
    <row r="8" spans="1:10" ht="16" thickBot="1" x14ac:dyDescent="0.4">
      <c r="A8" s="58" t="s">
        <v>159</v>
      </c>
      <c r="B8" s="56" t="s">
        <v>106</v>
      </c>
      <c r="C8" s="56" t="s">
        <v>4</v>
      </c>
      <c r="D8" s="61" cm="1">
        <f t="array" ref="D8">SQRT(2*W*1/(Linterp(0,atmos_h,atmos_rho)*S*CL_max))</f>
        <v>121.8203492385378</v>
      </c>
      <c r="E8" s="61" cm="1">
        <f t="array" ref="E8">SQRT(2*W*1/(Linterp(10000,atmos_h,atmos_rho)*S*CL_max))</f>
        <v>141.75964863341386</v>
      </c>
      <c r="F8" s="85"/>
      <c r="I8">
        <v>0.6</v>
      </c>
    </row>
    <row r="9" spans="1:10" ht="16" thickBot="1" x14ac:dyDescent="0.4">
      <c r="A9" s="58" t="s">
        <v>107</v>
      </c>
      <c r="B9" s="59" t="s">
        <v>108</v>
      </c>
      <c r="C9" s="59" t="s">
        <v>6</v>
      </c>
      <c r="D9" s="62" cm="1">
        <f t="array" ref="D9">D8/Linterp(0, atmos_h, atmos_aspeed)</f>
        <v>0.10911402144165686</v>
      </c>
      <c r="E9" s="62" cm="1">
        <f t="array" ref="E9">E8/Linterp(10000, atmos_h, atmos_aspeed)</f>
        <v>0.13157726458662777</v>
      </c>
      <c r="F9" s="85"/>
    </row>
    <row r="10" spans="1:10" ht="16" thickBot="1" x14ac:dyDescent="0.4">
      <c r="A10" s="53" t="s">
        <v>160</v>
      </c>
      <c r="B10" s="54" t="s">
        <v>99</v>
      </c>
      <c r="C10" s="54" t="s">
        <v>100</v>
      </c>
      <c r="D10" s="54" t="s">
        <v>101</v>
      </c>
      <c r="E10" s="86">
        <v>10000</v>
      </c>
      <c r="F10" s="87" t="s">
        <v>59</v>
      </c>
    </row>
    <row r="11" spans="1:10" ht="16" thickBot="1" x14ac:dyDescent="0.4">
      <c r="A11" s="58" t="s">
        <v>161</v>
      </c>
      <c r="B11" s="56" t="s">
        <v>106</v>
      </c>
      <c r="C11" s="56" t="s">
        <v>4</v>
      </c>
      <c r="D11" s="61" cm="1">
        <f t="array" ref="D11">SQRT( (( Linterp(0,atmos_h,atmos_dr)*T_max_SL/S)+(W/S)*SQRT( POWER(Linterp(0,atmos_h,atmos_dr)*T_max_SL/W,2 ) - 4*CD0*K)) / (Linterp(0, atmos_h, atmos_rho)*CD0) )</f>
        <v>468.13608894911954</v>
      </c>
      <c r="E11" s="61" cm="1">
        <f t="array" ref="E11">SQRT( (( Linterp(10000,atmos_h,atmos_dr)*T_max_SL/S)+(W/S)*SQRT( POWER(Linterp(10000,atmos_h,atmos_dr)*T_max_SL/W,2 ) - 4*CD0*K)) / (Linterp(10000, atmos_h, atmos_rho)*CD0) )</f>
        <v>462.79160389810119</v>
      </c>
    </row>
    <row r="12" spans="1:10" ht="16" thickBot="1" x14ac:dyDescent="0.4">
      <c r="A12" s="58" t="s">
        <v>107</v>
      </c>
      <c r="B12" s="59" t="s">
        <v>108</v>
      </c>
      <c r="C12" s="59" t="s">
        <v>6</v>
      </c>
      <c r="D12" s="62" cm="1">
        <f t="array" ref="D12">D11/Linterp(0, atmos_h, atmos_aspeed)</f>
        <v>0.419307706524358</v>
      </c>
      <c r="E12" s="62" cm="1">
        <f t="array" ref="E12">E11/Linterp(10000, atmos_h, atmos_aspeed)</f>
        <v>0.4295499735050653</v>
      </c>
    </row>
    <row r="13" spans="1:10" ht="16" thickBot="1" x14ac:dyDescent="0.4">
      <c r="A13" s="58" t="s">
        <v>162</v>
      </c>
      <c r="B13" s="56" t="s">
        <v>106</v>
      </c>
      <c r="C13" s="56" t="s">
        <v>4</v>
      </c>
      <c r="D13" s="61">
        <f>B18*6076.12/3600</f>
        <v>438.83088888888886</v>
      </c>
      <c r="E13" s="61">
        <f>B19*6076.12/3600</f>
        <v>510.65780887367504</v>
      </c>
      <c r="F13" t="s">
        <v>167</v>
      </c>
    </row>
    <row r="14" spans="1:10" ht="16" thickBot="1" x14ac:dyDescent="0.4">
      <c r="A14" s="58" t="s">
        <v>107</v>
      </c>
      <c r="B14" s="59" t="s">
        <v>108</v>
      </c>
      <c r="C14" s="59" t="s">
        <v>6</v>
      </c>
      <c r="D14" s="62" cm="1">
        <f t="array" ref="D14">D13/Linterp(0, atmos_h, atmos_aspeed)</f>
        <v>0.39305915078049969</v>
      </c>
      <c r="E14" s="62" cm="1">
        <f t="array" ref="E14">E13/Linterp(10000, atmos_h, atmos_aspeed)</f>
        <v>0.47397802039671322</v>
      </c>
    </row>
    <row r="15" spans="1:10" ht="16" thickBot="1" x14ac:dyDescent="0.4">
      <c r="A15" s="58" t="s">
        <v>168</v>
      </c>
      <c r="B15" s="56" t="s">
        <v>106</v>
      </c>
      <c r="C15" s="56" t="s">
        <v>4</v>
      </c>
      <c r="D15" s="61" cm="1">
        <f t="array" ref="D15">SQRT(2*Linterp(0,atmos_h,atmos_qms)*POWER($B$17/Linterp(0,atmos_h,atmos_vela), 2)/Linterp(0,atmos_h,atmos_rho))</f>
        <v>438.86470317714623</v>
      </c>
      <c r="E15" s="61" cm="1">
        <f t="array" ref="E15">SQRT(2*Linterp(0,atmos_h,atmos_qms)*POWER($B$17/Linterp(0,atmos_h,atmos_vela), 2)/Linterp(10000,atmos_h,atmos_rho))</f>
        <v>510.69715781375032</v>
      </c>
      <c r="F15" t="s">
        <v>169</v>
      </c>
    </row>
    <row r="17" spans="1:3" ht="15.5" x14ac:dyDescent="0.35">
      <c r="A17" s="88" t="s">
        <v>164</v>
      </c>
      <c r="B17">
        <v>260</v>
      </c>
      <c r="C17" t="s">
        <v>2</v>
      </c>
    </row>
    <row r="18" spans="1:3" ht="15.5" x14ac:dyDescent="0.35">
      <c r="A18" s="88" t="s">
        <v>165</v>
      </c>
      <c r="B18" cm="1">
        <f t="array" ref="B18">B17/Linterp(0,atmos_h, atmos_sqrtdr)</f>
        <v>260</v>
      </c>
      <c r="C18" t="s">
        <v>148</v>
      </c>
    </row>
    <row r="19" spans="1:3" ht="15.5" x14ac:dyDescent="0.35">
      <c r="A19" s="88" t="s">
        <v>166</v>
      </c>
      <c r="B19" cm="1">
        <f t="array" ref="B19">B17/Linterp(10000,atmos_h, atmos_sqrtdr)</f>
        <v>302.55625496949204</v>
      </c>
      <c r="C19" t="s">
        <v>148</v>
      </c>
    </row>
    <row r="23" spans="1:3" x14ac:dyDescent="0.35">
      <c r="A23" t="s">
        <v>171</v>
      </c>
    </row>
    <row r="24" spans="1:3" ht="150.5" customHeight="1" x14ac:dyDescent="0.35">
      <c r="A24" s="89" t="s">
        <v>172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35901-93A9-4242-AD8C-B45003116A09}">
  <dimension ref="A2:AH65"/>
  <sheetViews>
    <sheetView workbookViewId="0">
      <selection activeCell="A26" sqref="A26"/>
    </sheetView>
  </sheetViews>
  <sheetFormatPr defaultRowHeight="14.5" x14ac:dyDescent="0.35"/>
  <cols>
    <col min="1" max="1" width="38.7265625" customWidth="1"/>
    <col min="4" max="5" width="12.7265625" customWidth="1"/>
    <col min="7" max="7" width="14.54296875" customWidth="1"/>
  </cols>
  <sheetData>
    <row r="2" spans="1:34" x14ac:dyDescent="0.35">
      <c r="A2" s="115" t="s">
        <v>173</v>
      </c>
      <c r="B2" s="115"/>
    </row>
    <row r="3" spans="1:34" x14ac:dyDescent="0.35">
      <c r="A3" s="115" t="s">
        <v>174</v>
      </c>
      <c r="B3" s="115"/>
    </row>
    <row r="4" spans="1:34" ht="15" thickBot="1" x14ac:dyDescent="0.4"/>
    <row r="5" spans="1:34" ht="16" thickBot="1" x14ac:dyDescent="0.4">
      <c r="A5" s="53" t="s">
        <v>175</v>
      </c>
      <c r="B5" s="54" t="s">
        <v>99</v>
      </c>
      <c r="C5" s="54" t="s">
        <v>100</v>
      </c>
      <c r="D5" s="54" t="s">
        <v>101</v>
      </c>
      <c r="E5" s="54" t="s">
        <v>176</v>
      </c>
      <c r="G5" s="92" t="s">
        <v>72</v>
      </c>
      <c r="H5" s="92">
        <v>0</v>
      </c>
      <c r="I5" s="92">
        <v>20000</v>
      </c>
      <c r="L5" s="99" t="s">
        <v>72</v>
      </c>
      <c r="M5" s="100">
        <v>0</v>
      </c>
      <c r="N5" s="100" t="s">
        <v>59</v>
      </c>
      <c r="O5" s="100" t="s">
        <v>73</v>
      </c>
      <c r="P5" s="101" cm="1">
        <f t="array" ref="P5">Linterp(M5,atmos_h,atmos_rho)</f>
        <v>2.3768800000000001E-3</v>
      </c>
      <c r="Q5" s="63"/>
      <c r="R5" s="64" t="s">
        <v>203</v>
      </c>
      <c r="S5" s="65"/>
      <c r="T5" s="63"/>
      <c r="U5" s="64" t="s">
        <v>204</v>
      </c>
      <c r="V5" s="65"/>
      <c r="X5" s="99" t="s">
        <v>72</v>
      </c>
      <c r="Y5" s="100">
        <v>20000</v>
      </c>
      <c r="Z5" s="100" t="s">
        <v>59</v>
      </c>
      <c r="AA5" s="100" t="s">
        <v>73</v>
      </c>
      <c r="AB5" s="101" cm="1">
        <f t="array" ref="AB5">Linterp(Y5,atmos_h,atmos_rho)</f>
        <v>1.2664069179837817E-3</v>
      </c>
      <c r="AC5" s="63"/>
      <c r="AD5" s="64" t="s">
        <v>203</v>
      </c>
      <c r="AE5" s="65"/>
      <c r="AF5" s="63"/>
      <c r="AG5" s="64" t="s">
        <v>204</v>
      </c>
      <c r="AH5" s="65"/>
    </row>
    <row r="6" spans="1:34" ht="16" thickBot="1" x14ac:dyDescent="0.4">
      <c r="A6" s="58" t="s">
        <v>177</v>
      </c>
      <c r="B6" s="56" t="s">
        <v>178</v>
      </c>
      <c r="C6" s="56" t="s">
        <v>4</v>
      </c>
      <c r="D6" s="95">
        <f>(60)*SQRT(W*H$7/(S*3*H$8*CD0))*POWER(H$6/W,3/2)*(1 - H$7/6 - 3/(2*H$7*POWER(H$6/W,2)*POWER(LD_max,2)))</f>
        <v>2190.1336406350474</v>
      </c>
      <c r="E6" s="95">
        <f>(60)*SQRT(W*I$7/(S*3*I$8*CD0))*POWER(I$6/W,3/2)*(1 - I$7/6 - 3/(2*I$7*POWER(I$6/W,2)*POWER(LD_max,2)))</f>
        <v>824.69012933719421</v>
      </c>
      <c r="G6" s="92" t="s">
        <v>193</v>
      </c>
      <c r="H6">
        <f>T_max_SL</f>
        <v>202</v>
      </c>
      <c r="I6" cm="1">
        <f t="array" ref="I6">T_max_SL*Linterp(I5,atmos_h,atmos_dr)</f>
        <v>107.62604651169764</v>
      </c>
      <c r="J6" t="s">
        <v>63</v>
      </c>
      <c r="L6" s="63" t="s">
        <v>123</v>
      </c>
      <c r="M6" s="64" t="s">
        <v>77</v>
      </c>
      <c r="N6" s="64" t="s">
        <v>124</v>
      </c>
      <c r="O6" s="64" t="s">
        <v>125</v>
      </c>
      <c r="P6" s="65" t="s">
        <v>126</v>
      </c>
      <c r="Q6" s="66" t="s">
        <v>198</v>
      </c>
      <c r="R6" s="19" t="s">
        <v>200</v>
      </c>
      <c r="S6" s="67" t="s">
        <v>201</v>
      </c>
      <c r="T6" s="66" t="s">
        <v>198</v>
      </c>
      <c r="U6" s="19" t="s">
        <v>200</v>
      </c>
      <c r="V6" s="67" t="s">
        <v>201</v>
      </c>
      <c r="X6" s="63" t="s">
        <v>123</v>
      </c>
      <c r="Y6" s="64" t="s">
        <v>77</v>
      </c>
      <c r="Z6" s="64" t="s">
        <v>124</v>
      </c>
      <c r="AA6" s="64" t="s">
        <v>125</v>
      </c>
      <c r="AB6" s="65" t="s">
        <v>126</v>
      </c>
      <c r="AC6" s="66" t="s">
        <v>198</v>
      </c>
      <c r="AD6" s="19" t="s">
        <v>200</v>
      </c>
      <c r="AE6" s="67" t="s">
        <v>201</v>
      </c>
      <c r="AF6" s="66" t="s">
        <v>198</v>
      </c>
      <c r="AG6" s="19" t="s">
        <v>200</v>
      </c>
      <c r="AH6" s="67" t="s">
        <v>201</v>
      </c>
    </row>
    <row r="7" spans="1:34" ht="16" thickBot="1" x14ac:dyDescent="0.4">
      <c r="A7" s="58" t="s">
        <v>179</v>
      </c>
      <c r="B7" s="56" t="s">
        <v>106</v>
      </c>
      <c r="C7" s="56" t="s">
        <v>4</v>
      </c>
      <c r="D7" s="95">
        <f>SQRT(H$6*W*H$7/(W*S*3*H$8*CD0))</f>
        <v>283.05413224136589</v>
      </c>
      <c r="E7" s="95">
        <f>SQRT(I$6*W*I$7/(W*S*3*I$8*CD0))</f>
        <v>301.65942842272062</v>
      </c>
      <c r="G7" s="92" t="s">
        <v>192</v>
      </c>
      <c r="H7">
        <f>1 +SQRT(1 + 3/(POWER(H6/W,2)*POWER(LD_max,2)))</f>
        <v>2.1381488503738399</v>
      </c>
      <c r="I7">
        <f>1 +SQRT(1 + 3/(POWER(I6/W,2)*POWER(LD_max,2)))</f>
        <v>2.4284700109042099</v>
      </c>
      <c r="L7" s="96" t="s">
        <v>84</v>
      </c>
      <c r="M7" s="97"/>
      <c r="N7" s="97"/>
      <c r="O7" s="97"/>
      <c r="P7" s="98" t="s">
        <v>63</v>
      </c>
      <c r="Q7" s="96" t="s">
        <v>199</v>
      </c>
      <c r="R7" s="97" t="s">
        <v>205</v>
      </c>
      <c r="S7" s="98" t="s">
        <v>205</v>
      </c>
      <c r="T7" s="96" t="s">
        <v>199</v>
      </c>
      <c r="U7" s="97" t="s">
        <v>205</v>
      </c>
      <c r="V7" s="98" t="s">
        <v>205</v>
      </c>
      <c r="X7" s="96" t="s">
        <v>84</v>
      </c>
      <c r="Y7" s="97"/>
      <c r="Z7" s="97"/>
      <c r="AA7" s="97"/>
      <c r="AB7" s="98" t="s">
        <v>63</v>
      </c>
      <c r="AC7" s="96" t="s">
        <v>199</v>
      </c>
      <c r="AD7" s="97" t="s">
        <v>205</v>
      </c>
      <c r="AE7" s="98" t="s">
        <v>205</v>
      </c>
      <c r="AF7" s="96" t="s">
        <v>199</v>
      </c>
      <c r="AG7" s="97" t="s">
        <v>205</v>
      </c>
      <c r="AH7" s="98" t="s">
        <v>205</v>
      </c>
    </row>
    <row r="8" spans="1:34" ht="16" thickBot="1" x14ac:dyDescent="0.4">
      <c r="A8" s="58" t="s">
        <v>107</v>
      </c>
      <c r="B8" s="59" t="s">
        <v>108</v>
      </c>
      <c r="C8" s="56" t="s">
        <v>6</v>
      </c>
      <c r="D8" s="93">
        <f>D7/H$9</f>
        <v>0.25353050494098783</v>
      </c>
      <c r="E8" s="93">
        <f>E7/I$9</f>
        <v>0.29093734376585989</v>
      </c>
      <c r="G8" s="92" t="s">
        <v>194</v>
      </c>
      <c r="H8" cm="1">
        <f t="array" ref="H8">Linterp(H5,atmos_h,atmos_rho)</f>
        <v>2.3768800000000001E-3</v>
      </c>
      <c r="I8" cm="1">
        <f t="array" ref="I8">Linterp(I5,atmos_h,atmos_rho)</f>
        <v>1.2664069179837817E-3</v>
      </c>
      <c r="J8" t="s">
        <v>196</v>
      </c>
      <c r="L8" s="68">
        <f>50</f>
        <v>50</v>
      </c>
      <c r="M8" cm="1">
        <f t="array" ref="M8">L8/Linterp(M$5,atmos_h,atmos_aspeed)</f>
        <v>4.4784808992789644E-2</v>
      </c>
      <c r="N8" cm="1">
        <f t="array" ref="N8">1*W/(S*0.5*Linterp(M$5,atmos_h,atmos_rho)*L8*L8)</f>
        <v>8.0137066438436317</v>
      </c>
      <c r="O8">
        <f t="shared" ref="O8:O39" si="0">CD0+K*N8*N8</f>
        <v>4.001608638762181</v>
      </c>
      <c r="P8">
        <f t="shared" ref="P8:P56" si="1">W*O8/N8</f>
        <v>449.41098232647465</v>
      </c>
      <c r="Q8">
        <f t="shared" ref="Q8:Q39" si="2">DEGREES(ASIN(($H$11-P8)/W))</f>
        <v>-15.956119949134919</v>
      </c>
      <c r="R8">
        <f>L8*COS(RADIANS(Q8))*60</f>
        <v>2884.4175337766756</v>
      </c>
      <c r="S8">
        <f>L8*SIN(RADIANS(Q8))*60</f>
        <v>-824.70327442158214</v>
      </c>
      <c r="T8">
        <f t="shared" ref="T8:T39" si="3">DEGREES(ASIN((P8)/W))</f>
        <v>29.956710442532174</v>
      </c>
      <c r="U8">
        <f>L8*COS(RADIANS(T8))*60</f>
        <v>2599.2087876556102</v>
      </c>
      <c r="V8" s="69">
        <f>L8*SIN(RADIANS(T8))*60</f>
        <v>1498.0366077549154</v>
      </c>
      <c r="X8" s="68">
        <f>50</f>
        <v>50</v>
      </c>
      <c r="Y8" cm="1">
        <f t="array" ref="Y8">X8/Linterp($Y$5,atmos_h,atmos_aspeed)</f>
        <v>4.8222816254588324E-2</v>
      </c>
      <c r="Z8" cm="1">
        <f t="array" ref="Z8">1*W/(S*0.5*Linterp($Y$5,atmos_h,atmos_rho)*X8*X8)</f>
        <v>15.040678297892072</v>
      </c>
      <c r="AA8">
        <f t="shared" ref="AA8:AA39" si="4">CD0+K*Z8*Z8</f>
        <v>14.045764226962255</v>
      </c>
      <c r="AB8">
        <f t="shared" ref="AB8:AB65" si="5">W*AA8/Z8</f>
        <v>840.46660355987228</v>
      </c>
      <c r="AC8">
        <f t="shared" ref="AC8:AC39" si="6">DEGREES(ASIN(($I$11-AB8)/W))</f>
        <v>-54.514977049263116</v>
      </c>
      <c r="AD8">
        <f>X8*COS(RADIANS(AC8))*60</f>
        <v>1741.4703811094073</v>
      </c>
      <c r="AE8">
        <f>X8*SIN(RADIANS(AC8))*60</f>
        <v>-2442.8018568272491</v>
      </c>
      <c r="AF8">
        <f t="shared" ref="AF8:AF39" si="7">DEGREES(ASIN((AB8)/W))</f>
        <v>69.043427086191556</v>
      </c>
      <c r="AG8">
        <f>X8*COS(RADIANS(AF8))*60</f>
        <v>1072.9807303878733</v>
      </c>
      <c r="AH8" s="69">
        <f>X8*SIN(RADIANS(AF8))*60</f>
        <v>2801.5553451995738</v>
      </c>
    </row>
    <row r="9" spans="1:34" ht="16" thickBot="1" x14ac:dyDescent="0.4">
      <c r="A9" s="58" t="s">
        <v>180</v>
      </c>
      <c r="B9" s="56" t="s">
        <v>181</v>
      </c>
      <c r="C9" s="56" t="s">
        <v>5</v>
      </c>
      <c r="D9" s="94">
        <f>DEGREES(ASIN(H$6/W - 1/LD_max))</f>
        <v>8.859800200250513</v>
      </c>
      <c r="E9" s="94">
        <f>DEGREES(ASIN(I$6/W - 1/LD_max))</f>
        <v>2.8176372856884582</v>
      </c>
      <c r="G9" s="92" t="s">
        <v>195</v>
      </c>
      <c r="H9" cm="1">
        <f t="array" ref="H9">Linterp(H5,atmos_h,atmos_aspeed)</f>
        <v>1116.45</v>
      </c>
      <c r="I9" cm="1">
        <f t="array" ref="I9">Linterp(I5,atmos_h,atmos_aspeed)</f>
        <v>1036.8535868172689</v>
      </c>
      <c r="J9" t="s">
        <v>152</v>
      </c>
      <c r="L9" s="68">
        <f>10+L8</f>
        <v>60</v>
      </c>
      <c r="M9" cm="1">
        <f t="array" ref="M9">L9/Linterp(M$5,atmos_h,atmos_aspeed)</f>
        <v>5.3741770791347572E-2</v>
      </c>
      <c r="N9" cm="1">
        <f t="array" ref="N9">1*W/(S*0.5*Linterp(M$5,atmos_h,atmos_rho)*L9*L9)</f>
        <v>5.5650740582247442</v>
      </c>
      <c r="O9">
        <f t="shared" si="0"/>
        <v>1.9401430549586136</v>
      </c>
      <c r="P9">
        <f t="shared" si="1"/>
        <v>313.76559075294074</v>
      </c>
      <c r="Q9">
        <f t="shared" si="2"/>
        <v>-7.1336346704514426</v>
      </c>
      <c r="R9">
        <f t="shared" ref="R9:R65" si="8">L9*COS(RADIANS(Q9))*60</f>
        <v>3572.1331503148563</v>
      </c>
      <c r="S9">
        <f t="shared" ref="S9:S65" si="9">L9*SIN(RADIANS(Q9))*60</f>
        <v>-447.06236301176295</v>
      </c>
      <c r="T9">
        <f t="shared" si="3"/>
        <v>20.40344695043461</v>
      </c>
      <c r="U9">
        <f t="shared" ref="U9:U65" si="10">L9*COS(RADIANS(T9))*60</f>
        <v>3374.1396629291044</v>
      </c>
      <c r="V9" s="69">
        <f t="shared" ref="V9:V65" si="11">L9*SIN(RADIANS(T9))*60</f>
        <v>1255.062363011763</v>
      </c>
      <c r="X9" s="68">
        <f>10+X8</f>
        <v>60</v>
      </c>
      <c r="Y9" cm="1">
        <f t="array" ref="Y9">X9/Linterp($Y$5,atmos_h,atmos_aspeed)</f>
        <v>5.7867379505505988E-2</v>
      </c>
      <c r="Z9" cm="1">
        <f t="array" ref="Z9">1*W/(S*0.5*Linterp($Y$5,atmos_h,atmos_rho)*X9*X9)</f>
        <v>10.444915484647272</v>
      </c>
      <c r="AA9">
        <f t="shared" si="4"/>
        <v>6.7839680878483088</v>
      </c>
      <c r="AB9">
        <f t="shared" si="5"/>
        <v>584.54961057730998</v>
      </c>
      <c r="AC9">
        <f t="shared" si="6"/>
        <v>-31.999716709875408</v>
      </c>
      <c r="AD9">
        <f t="shared" ref="AD9:AD65" si="12">X9*COS(RADIANS(AC9))*60</f>
        <v>3052.9825784997956</v>
      </c>
      <c r="AE9">
        <f t="shared" ref="AE9:AE65" si="13">X9*SIN(RADIANS(AC9))*60</f>
        <v>-1907.6942562624497</v>
      </c>
      <c r="AF9">
        <f t="shared" si="7"/>
        <v>40.50388201243269</v>
      </c>
      <c r="AG9">
        <f t="shared" ref="AG9:AG65" si="14">X9*COS(RADIANS(AF9))*60</f>
        <v>2737.3030603830925</v>
      </c>
      <c r="AH9" s="69">
        <f t="shared" ref="AH9:AH65" si="15">X9*SIN(RADIANS(AF9))*60</f>
        <v>2338.1984423092395</v>
      </c>
    </row>
    <row r="10" spans="1:34" ht="16" thickBot="1" x14ac:dyDescent="0.4">
      <c r="A10" s="58" t="s">
        <v>182</v>
      </c>
      <c r="B10" s="56" t="s">
        <v>106</v>
      </c>
      <c r="C10" s="56" t="s">
        <v>4</v>
      </c>
      <c r="D10" s="95">
        <f>SQRT( (2/H$8)*SQRT(K/CD0)*(W/S)*COS(RADIANS(D$9))  )</f>
        <v>186.68980517670207</v>
      </c>
      <c r="E10" s="95">
        <f>SQRT( (2/I$8)*SQRT(K/CD0)*(W/S)*COS(RADIANS(E$9))  )</f>
        <v>257.14699914770023</v>
      </c>
      <c r="G10" s="92" t="s">
        <v>197</v>
      </c>
      <c r="H10">
        <f>0.25*POWER(3/(K*POWER(CD0,1/3)),3/4)</f>
        <v>12.196344518266748</v>
      </c>
      <c r="I10">
        <f>0.25*POWER(3/(K*POWER(CD0,1/3)),3/4)</f>
        <v>12.196344518266748</v>
      </c>
      <c r="L10" s="68">
        <f t="shared" ref="L10:L35" si="16">10+L9</f>
        <v>70</v>
      </c>
      <c r="M10" cm="1">
        <f t="array" ref="M10">L10/Linterp(M$5,atmos_h,atmos_aspeed)</f>
        <v>6.2698732589905506E-2</v>
      </c>
      <c r="N10" cm="1">
        <f t="array" ref="N10">1*W/(S*0.5*Linterp(M$5,atmos_h,atmos_rho)*L10*L10)</f>
        <v>4.0886258386957302</v>
      </c>
      <c r="O10">
        <f t="shared" si="0"/>
        <v>1.0564453974287225</v>
      </c>
      <c r="P10">
        <f t="shared" si="1"/>
        <v>232.54777893522174</v>
      </c>
      <c r="Q10">
        <f t="shared" si="2"/>
        <v>-1.9451056081960805</v>
      </c>
      <c r="R10">
        <f t="shared" si="8"/>
        <v>4197.5799814710226</v>
      </c>
      <c r="S10">
        <f t="shared" si="9"/>
        <v>-142.55630169770146</v>
      </c>
      <c r="T10">
        <f t="shared" si="3"/>
        <v>14.974339596377146</v>
      </c>
      <c r="U10">
        <f t="shared" si="10"/>
        <v>4057.3749036704048</v>
      </c>
      <c r="V10" s="69">
        <f t="shared" si="11"/>
        <v>1085.2229683643682</v>
      </c>
      <c r="X10" s="68">
        <f t="shared" ref="X10:X35" si="17">10+X9</f>
        <v>70</v>
      </c>
      <c r="Y10" cm="1">
        <f t="array" ref="Y10">X10/Linterp($Y$5,atmos_h,atmos_aspeed)</f>
        <v>6.7511942756423651E-2</v>
      </c>
      <c r="Z10" cm="1">
        <f t="array" ref="Z10">1*W/(S*0.5*Linterp($Y$5,atmos_h,atmos_rho)*X10*X10)</f>
        <v>7.6738154581081988</v>
      </c>
      <c r="AA10">
        <f t="shared" si="4"/>
        <v>3.6710215084762212</v>
      </c>
      <c r="AB10">
        <f t="shared" si="5"/>
        <v>430.54454145592706</v>
      </c>
      <c r="AC10">
        <f t="shared" si="6"/>
        <v>-21.026415545082319</v>
      </c>
      <c r="AD10">
        <f t="shared" si="12"/>
        <v>3920.3434450185459</v>
      </c>
      <c r="AE10">
        <f t="shared" si="13"/>
        <v>-1506.9529764064036</v>
      </c>
      <c r="AF10">
        <f t="shared" si="7"/>
        <v>28.579834857966588</v>
      </c>
      <c r="AG10">
        <f t="shared" si="14"/>
        <v>3688.235862143476</v>
      </c>
      <c r="AH10" s="69">
        <f t="shared" si="15"/>
        <v>2009.2078601276594</v>
      </c>
    </row>
    <row r="11" spans="1:34" ht="16" thickBot="1" x14ac:dyDescent="0.4">
      <c r="A11" s="58" t="s">
        <v>107</v>
      </c>
      <c r="B11" s="59" t="s">
        <v>108</v>
      </c>
      <c r="C11" s="56" t="s">
        <v>6</v>
      </c>
      <c r="D11" s="93">
        <f>D10/H$9</f>
        <v>0.16721734531479426</v>
      </c>
      <c r="E11" s="93">
        <f>E10/I$9</f>
        <v>0.24800704980636656</v>
      </c>
      <c r="G11" s="92" t="s">
        <v>202</v>
      </c>
      <c r="H11">
        <f>T_max_SL</f>
        <v>202</v>
      </c>
      <c r="I11" cm="1">
        <f t="array" ref="I11">T_max_SL*Linterp(I5,atmos_h,atmos_dr)</f>
        <v>107.62604651169764</v>
      </c>
      <c r="L11" s="68">
        <f t="shared" si="16"/>
        <v>80</v>
      </c>
      <c r="M11" cm="1">
        <f t="array" ref="M11">L11/Linterp(M$5,atmos_h,atmos_aspeed)</f>
        <v>7.1655694388463434E-2</v>
      </c>
      <c r="N11" cm="1">
        <f t="array" ref="N11">1*W/(S*0.5*Linterp(M$5,atmos_h,atmos_rho)*L11*L11)</f>
        <v>3.1303541577514187</v>
      </c>
      <c r="O11">
        <f t="shared" si="0"/>
        <v>0.62754526348299877</v>
      </c>
      <c r="P11">
        <f t="shared" si="1"/>
        <v>180.42391009852915</v>
      </c>
      <c r="Q11">
        <f t="shared" si="2"/>
        <v>1.3737081497830357</v>
      </c>
      <c r="R11">
        <f t="shared" si="8"/>
        <v>4798.6204605560952</v>
      </c>
      <c r="S11">
        <f t="shared" si="9"/>
        <v>115.07247947451123</v>
      </c>
      <c r="T11">
        <f t="shared" si="3"/>
        <v>11.564503831044522</v>
      </c>
      <c r="U11">
        <f t="shared" si="10"/>
        <v>4702.5582451609134</v>
      </c>
      <c r="V11" s="69">
        <f t="shared" si="11"/>
        <v>962.2608538588222</v>
      </c>
      <c r="X11" s="68">
        <f t="shared" si="17"/>
        <v>80</v>
      </c>
      <c r="Y11" cm="1">
        <f t="array" ref="Y11">X11/Linterp($Y$5,atmos_h,atmos_aspeed)</f>
        <v>7.7156506007341322E-2</v>
      </c>
      <c r="Z11" cm="1">
        <f t="array" ref="Z11">1*W/(S*0.5*Linterp($Y$5,atmos_h,atmos_rho)*X11*X11)</f>
        <v>5.8752649601140909</v>
      </c>
      <c r="AA11">
        <f t="shared" si="4"/>
        <v>2.1601617777957545</v>
      </c>
      <c r="AB11">
        <f t="shared" si="5"/>
        <v>330.90347639035264</v>
      </c>
      <c r="AC11">
        <f t="shared" si="6"/>
        <v>-14.364282346965728</v>
      </c>
      <c r="AD11">
        <f t="shared" si="12"/>
        <v>4649.9424185507241</v>
      </c>
      <c r="AE11">
        <f t="shared" si="13"/>
        <v>-1190.8129593528267</v>
      </c>
      <c r="AF11">
        <f t="shared" si="7"/>
        <v>21.572024341701674</v>
      </c>
      <c r="AG11">
        <f t="shared" si="14"/>
        <v>4463.7893675923115</v>
      </c>
      <c r="AH11" s="69">
        <f t="shared" si="15"/>
        <v>1764.8185407485469</v>
      </c>
    </row>
    <row r="12" spans="1:34" ht="16" thickBot="1" x14ac:dyDescent="0.4">
      <c r="A12" s="53" t="s">
        <v>183</v>
      </c>
      <c r="B12" s="54" t="s">
        <v>99</v>
      </c>
      <c r="C12" s="54" t="s">
        <v>100</v>
      </c>
      <c r="D12" s="54" t="s">
        <v>101</v>
      </c>
      <c r="E12" s="54" t="s">
        <v>176</v>
      </c>
      <c r="L12" s="68">
        <f t="shared" si="16"/>
        <v>90</v>
      </c>
      <c r="M12" cm="1">
        <f t="array" ref="M12">L12/Linterp(M$5,atmos_h,atmos_aspeed)</f>
        <v>8.0612656187021361E-2</v>
      </c>
      <c r="N12" cm="1">
        <f t="array" ref="N12">1*W/(S*0.5*Linterp(M$5,atmos_h,atmos_rho)*L12*L12)</f>
        <v>2.4733662480998859</v>
      </c>
      <c r="O12">
        <f t="shared" si="0"/>
        <v>0.39928751702886178</v>
      </c>
      <c r="P12">
        <f t="shared" si="1"/>
        <v>145.29136782797363</v>
      </c>
      <c r="Q12">
        <f t="shared" si="2"/>
        <v>3.6125767921995933</v>
      </c>
      <c r="R12">
        <f t="shared" si="8"/>
        <v>5389.269775891572</v>
      </c>
      <c r="S12">
        <f t="shared" si="9"/>
        <v>340.25179303215828</v>
      </c>
      <c r="T12">
        <f t="shared" si="3"/>
        <v>9.2901900397216579</v>
      </c>
      <c r="U12">
        <f t="shared" si="10"/>
        <v>5329.1702040419341</v>
      </c>
      <c r="V12" s="69">
        <f t="shared" si="11"/>
        <v>871.74820696784172</v>
      </c>
      <c r="X12" s="68">
        <f t="shared" si="17"/>
        <v>90</v>
      </c>
      <c r="Y12" cm="1">
        <f t="array" ref="Y12">X12/Linterp($Y$5,atmos_h,atmos_aspeed)</f>
        <v>8.6801069258258978E-2</v>
      </c>
      <c r="Z12" cm="1">
        <f t="array" ref="Z12">1*W/(S*0.5*Linterp($Y$5,atmos_h,atmos_rho)*X12*X12)</f>
        <v>4.6421846598432319</v>
      </c>
      <c r="AA12">
        <f t="shared" si="4"/>
        <v>1.356092461797197</v>
      </c>
      <c r="AB12">
        <f t="shared" si="5"/>
        <v>262.91138872073509</v>
      </c>
      <c r="AC12">
        <f t="shared" si="6"/>
        <v>-9.9354904684675915</v>
      </c>
      <c r="AD12">
        <f t="shared" si="12"/>
        <v>5319.0142554632057</v>
      </c>
      <c r="AE12">
        <f t="shared" si="13"/>
        <v>-931.71205325422477</v>
      </c>
      <c r="AF12">
        <f t="shared" si="7"/>
        <v>16.985145611035129</v>
      </c>
      <c r="AG12">
        <f t="shared" si="14"/>
        <v>5164.4548270377627</v>
      </c>
      <c r="AH12" s="69">
        <f t="shared" si="15"/>
        <v>1577.4683323244105</v>
      </c>
    </row>
    <row r="13" spans="1:34" ht="16" thickBot="1" x14ac:dyDescent="0.4">
      <c r="A13" s="58" t="s">
        <v>184</v>
      </c>
      <c r="B13" s="56" t="s">
        <v>178</v>
      </c>
      <c r="C13" s="56" t="s">
        <v>4</v>
      </c>
      <c r="D13" s="95">
        <f>SQRT(2*W/(S*H8*POWER(H10,2)))*60</f>
        <v>696.31907299937473</v>
      </c>
      <c r="E13" s="95">
        <f>SQRT(2*W/(S*I8*POWER(I10,2)))*60</f>
        <v>953.9492748410911</v>
      </c>
      <c r="L13" s="68">
        <f t="shared" si="16"/>
        <v>100</v>
      </c>
      <c r="M13" cm="1">
        <f t="array" ref="M13">L13/Linterp(M$5,atmos_h,atmos_aspeed)</f>
        <v>8.9569617985579289E-2</v>
      </c>
      <c r="N13" cm="1">
        <f t="array" ref="N13">1*W/(S*0.5*Linterp(M$5,atmos_h,atmos_rho)*L13*L13)</f>
        <v>2.0034266609609079</v>
      </c>
      <c r="O13">
        <f t="shared" si="0"/>
        <v>0.2688505399226363</v>
      </c>
      <c r="P13">
        <f t="shared" si="1"/>
        <v>120.77581408161865</v>
      </c>
      <c r="Q13">
        <f t="shared" si="2"/>
        <v>5.1779375273923671</v>
      </c>
      <c r="R13">
        <f t="shared" si="8"/>
        <v>5975.5153441054626</v>
      </c>
      <c r="S13">
        <f t="shared" si="9"/>
        <v>541.49457278920909</v>
      </c>
      <c r="T13">
        <f t="shared" si="3"/>
        <v>7.7120934041921796</v>
      </c>
      <c r="U13">
        <f t="shared" si="10"/>
        <v>5945.7293832835167</v>
      </c>
      <c r="V13" s="69">
        <f t="shared" si="11"/>
        <v>805.17209387745754</v>
      </c>
      <c r="X13" s="68">
        <f t="shared" si="17"/>
        <v>100</v>
      </c>
      <c r="Y13" cm="1">
        <f t="array" ref="Y13">X13/Linterp($Y$5,atmos_h,atmos_aspeed)</f>
        <v>9.6445632509176649E-2</v>
      </c>
      <c r="Z13" cm="1">
        <f t="array" ref="Z13">1*W/(S*0.5*Linterp($Y$5,atmos_h,atmos_rho)*X13*X13)</f>
        <v>3.7601695744730179</v>
      </c>
      <c r="AA13">
        <f t="shared" si="4"/>
        <v>0.896610264185141</v>
      </c>
      <c r="AB13">
        <f t="shared" si="5"/>
        <v>214.6044804055731</v>
      </c>
      <c r="AC13">
        <f t="shared" si="6"/>
        <v>-6.8265988028588271</v>
      </c>
      <c r="AD13">
        <f t="shared" si="12"/>
        <v>5957.4626018562776</v>
      </c>
      <c r="AE13">
        <f t="shared" si="13"/>
        <v>-713.18955929250308</v>
      </c>
      <c r="AF13">
        <f t="shared" si="7"/>
        <v>13.79504209215159</v>
      </c>
      <c r="AG13">
        <f t="shared" si="14"/>
        <v>5826.9295020423315</v>
      </c>
      <c r="AH13" s="69">
        <f t="shared" si="15"/>
        <v>1430.6965360371544</v>
      </c>
    </row>
    <row r="14" spans="1:34" ht="16" thickBot="1" x14ac:dyDescent="0.4">
      <c r="A14" s="58" t="s">
        <v>185</v>
      </c>
      <c r="B14" s="56" t="s">
        <v>106</v>
      </c>
      <c r="C14" s="56" t="s">
        <v>4</v>
      </c>
      <c r="D14" s="95">
        <f>SQRT( (2/H8)*SQRT(K/(3*CD0))*W/S)</f>
        <v>142.70751188191321</v>
      </c>
      <c r="E14" s="95">
        <f>SQRT( (2/I8)*SQRT(K/(3*CD0))*W/S)</f>
        <v>195.50768139629821</v>
      </c>
      <c r="L14" s="68">
        <f t="shared" si="16"/>
        <v>110</v>
      </c>
      <c r="M14" cm="1">
        <f t="array" ref="M14">L14/Linterp(M$5,atmos_h,atmos_aspeed)</f>
        <v>9.8526579784137217E-2</v>
      </c>
      <c r="N14" cm="1">
        <f t="array" ref="N14">1*W/(S*0.5*Linterp(M$5,atmos_h,atmos_rho)*L14*L14)</f>
        <v>1.6557245131908329</v>
      </c>
      <c r="O14">
        <f t="shared" si="0"/>
        <v>0.18996826714202325</v>
      </c>
      <c r="P14">
        <f t="shared" si="1"/>
        <v>103.26080158004847</v>
      </c>
      <c r="Q14">
        <f t="shared" si="2"/>
        <v>6.2986113244673305</v>
      </c>
      <c r="R14">
        <f t="shared" si="8"/>
        <v>6560.1598576098959</v>
      </c>
      <c r="S14">
        <f t="shared" si="9"/>
        <v>724.08745507964466</v>
      </c>
      <c r="T14">
        <f t="shared" si="3"/>
        <v>6.588295737568628</v>
      </c>
      <c r="U14">
        <f t="shared" si="10"/>
        <v>6556.4150783692612</v>
      </c>
      <c r="V14" s="69">
        <f t="shared" si="11"/>
        <v>757.24587825368883</v>
      </c>
      <c r="X14" s="68">
        <f t="shared" si="17"/>
        <v>110</v>
      </c>
      <c r="Y14" cm="1">
        <f t="array" ref="Y14">X14/Linterp($Y$5,atmos_h,atmos_aspeed)</f>
        <v>0.10609019576009431</v>
      </c>
      <c r="Z14" cm="1">
        <f t="array" ref="Z14">1*W/(S*0.5*Linterp($Y$5,atmos_h,atmos_rho)*X14*X14)</f>
        <v>3.1075781607215021</v>
      </c>
      <c r="AA14">
        <f t="shared" si="4"/>
        <v>0.61873660554958054</v>
      </c>
      <c r="AB14">
        <f t="shared" si="5"/>
        <v>179.19515332973404</v>
      </c>
      <c r="AC14">
        <f t="shared" si="6"/>
        <v>-4.5610465487391272</v>
      </c>
      <c r="AD14">
        <f t="shared" si="12"/>
        <v>6579.0989392118463</v>
      </c>
      <c r="AE14">
        <f t="shared" si="13"/>
        <v>-524.84011666560014</v>
      </c>
      <c r="AF14">
        <f t="shared" si="7"/>
        <v>11.484669198229735</v>
      </c>
      <c r="AG14">
        <f t="shared" si="14"/>
        <v>6467.8548990732825</v>
      </c>
      <c r="AH14" s="69">
        <f t="shared" si="15"/>
        <v>1314.0977910847164</v>
      </c>
    </row>
    <row r="15" spans="1:34" ht="16" thickBot="1" x14ac:dyDescent="0.4">
      <c r="A15" s="58" t="s">
        <v>107</v>
      </c>
      <c r="B15" s="59" t="s">
        <v>108</v>
      </c>
      <c r="C15" s="56" t="s">
        <v>6</v>
      </c>
      <c r="D15" s="93">
        <f>D14/H$9</f>
        <v>0.12782257322935484</v>
      </c>
      <c r="E15" s="93">
        <f>E14/I$9</f>
        <v>0.18855861992668568</v>
      </c>
      <c r="L15" s="68">
        <f t="shared" si="16"/>
        <v>120</v>
      </c>
      <c r="M15" cm="1">
        <f t="array" ref="M15">L15/Linterp(M$5,atmos_h,atmos_aspeed)</f>
        <v>0.10748354158269514</v>
      </c>
      <c r="N15" cm="1">
        <f t="array" ref="N15">1*W/(S*0.5*Linterp(M$5,atmos_h,atmos_rho)*L15*L15)</f>
        <v>1.3912685145561861</v>
      </c>
      <c r="O15">
        <f t="shared" si="0"/>
        <v>0.14000894093491334</v>
      </c>
      <c r="P15">
        <f t="shared" si="1"/>
        <v>90.570616328235175</v>
      </c>
      <c r="Q15">
        <f t="shared" si="2"/>
        <v>7.1120645971711278</v>
      </c>
      <c r="R15">
        <f t="shared" si="8"/>
        <v>7144.6024044092164</v>
      </c>
      <c r="S15">
        <f t="shared" si="9"/>
        <v>891.43506937411848</v>
      </c>
      <c r="T15">
        <f t="shared" si="3"/>
        <v>5.7756812191059552</v>
      </c>
      <c r="U15">
        <f t="shared" si="10"/>
        <v>7163.4492851772957</v>
      </c>
      <c r="V15" s="69">
        <f t="shared" si="11"/>
        <v>724.5649306258814</v>
      </c>
      <c r="X15" s="68">
        <f t="shared" si="17"/>
        <v>120</v>
      </c>
      <c r="Y15" cm="1">
        <f t="array" ref="Y15">X15/Linterp($Y$5,atmos_h,atmos_aspeed)</f>
        <v>0.11573475901101198</v>
      </c>
      <c r="Z15" cm="1">
        <f t="array" ref="Z15">1*W/(S*0.5*Linterp($Y$5,atmos_h,atmos_rho)*X15*X15)</f>
        <v>2.6112288711618179</v>
      </c>
      <c r="AA15">
        <f t="shared" si="4"/>
        <v>0.44274800549051935</v>
      </c>
      <c r="AB15">
        <f t="shared" si="5"/>
        <v>152.59987714679878</v>
      </c>
      <c r="AC15">
        <f t="shared" si="6"/>
        <v>-2.8643159038970283</v>
      </c>
      <c r="AD15">
        <f t="shared" si="12"/>
        <v>7191.0048457578123</v>
      </c>
      <c r="AE15">
        <f t="shared" si="13"/>
        <v>-359.7906450808091</v>
      </c>
      <c r="AF15">
        <f t="shared" si="7"/>
        <v>9.7619711951804486</v>
      </c>
      <c r="AG15">
        <f t="shared" si="14"/>
        <v>7095.7487102959085</v>
      </c>
      <c r="AH15" s="69">
        <f t="shared" si="15"/>
        <v>1220.7990171743902</v>
      </c>
    </row>
    <row r="16" spans="1:34" ht="16" thickBot="1" x14ac:dyDescent="0.4">
      <c r="A16" s="58" t="s">
        <v>186</v>
      </c>
      <c r="B16" s="56" t="s">
        <v>181</v>
      </c>
      <c r="C16" s="56" t="s">
        <v>5</v>
      </c>
      <c r="D16" s="94">
        <f>DEGREES(ATAN( 1/LD_max ))</f>
        <v>4.0285334654862854</v>
      </c>
      <c r="E16" s="94">
        <f>DEGREES(ATAN( 1/LD_max ))</f>
        <v>4.0285334654862854</v>
      </c>
      <c r="L16" s="68">
        <f t="shared" si="16"/>
        <v>130</v>
      </c>
      <c r="M16" cm="1">
        <f t="array" ref="M16">L16/Linterp(M$5,atmos_h,atmos_aspeed)</f>
        <v>0.11644050338125307</v>
      </c>
      <c r="N16" cm="1">
        <f t="array" ref="N16">1*W/(S*0.5*Linterp(M$5,atmos_h,atmos_rho)*L16*L16)</f>
        <v>1.1854595626987621</v>
      </c>
      <c r="O16">
        <f t="shared" si="0"/>
        <v>0.10712949123722429</v>
      </c>
      <c r="P16">
        <f t="shared" si="1"/>
        <v>81.332628414590914</v>
      </c>
      <c r="Q16">
        <f t="shared" si="2"/>
        <v>7.7051267834863646</v>
      </c>
      <c r="R16">
        <f t="shared" si="8"/>
        <v>7729.5754127595756</v>
      </c>
      <c r="S16">
        <f t="shared" si="9"/>
        <v>1045.7838870735454</v>
      </c>
      <c r="T16">
        <f t="shared" si="3"/>
        <v>5.1848695168753753</v>
      </c>
      <c r="U16">
        <f t="shared" si="10"/>
        <v>7768.0847232141505</v>
      </c>
      <c r="V16" s="69">
        <f t="shared" si="11"/>
        <v>704.88277959312143</v>
      </c>
      <c r="X16" s="68">
        <f t="shared" si="17"/>
        <v>130</v>
      </c>
      <c r="Y16" cm="1">
        <f t="array" ref="Y16">X16/Linterp($Y$5,atmos_h,atmos_aspeed)</f>
        <v>0.12537932226192963</v>
      </c>
      <c r="Z16" cm="1">
        <f t="array" ref="Z16">1*W/(S*0.5*Linterp($Y$5,atmos_h,atmos_rho)*X16*X16)</f>
        <v>2.2249524109307797</v>
      </c>
      <c r="AA16">
        <f t="shared" si="4"/>
        <v>0.32692562031621475</v>
      </c>
      <c r="AB16">
        <f t="shared" si="5"/>
        <v>132.24240520340149</v>
      </c>
      <c r="AC16">
        <f t="shared" si="6"/>
        <v>-1.5673215283206285</v>
      </c>
      <c r="AD16">
        <f t="shared" si="12"/>
        <v>7797.0818443120015</v>
      </c>
      <c r="AE16">
        <f t="shared" si="13"/>
        <v>-213.34177532810008</v>
      </c>
      <c r="AF16">
        <f t="shared" si="7"/>
        <v>8.4494051139987221</v>
      </c>
      <c r="AG16">
        <f t="shared" si="14"/>
        <v>7715.3388035049948</v>
      </c>
      <c r="AH16" s="69">
        <f t="shared" si="15"/>
        <v>1146.1008450961465</v>
      </c>
    </row>
    <row r="17" spans="1:34" ht="16" thickBot="1" x14ac:dyDescent="0.4">
      <c r="A17" s="58" t="s">
        <v>187</v>
      </c>
      <c r="B17" s="56" t="s">
        <v>106</v>
      </c>
      <c r="C17" s="56" t="s">
        <v>4</v>
      </c>
      <c r="D17" s="95">
        <f>SQRT( (2/H8)*SQRT(K/(CD0))*W/S)</f>
        <v>187.81364784089499</v>
      </c>
      <c r="E17" s="95">
        <f>SQRT( (2/I8)*SQRT(K/(CD0))*W/S)</f>
        <v>257.3025788182635</v>
      </c>
      <c r="L17" s="68">
        <f t="shared" si="16"/>
        <v>140</v>
      </c>
      <c r="M17" cm="1">
        <f t="array" ref="M17">L17/Linterp(M$5,atmos_h,atmos_aspeed)</f>
        <v>0.12539746517981101</v>
      </c>
      <c r="N17" cm="1">
        <f t="array" ref="N17">1*W/(S*0.5*Linterp(M$5,atmos_h,atmos_rho)*L17*L17)</f>
        <v>1.0221564596739325</v>
      </c>
      <c r="O17">
        <f t="shared" si="0"/>
        <v>8.4777837339295156E-2</v>
      </c>
      <c r="P17">
        <f t="shared" si="1"/>
        <v>74.646158993805443</v>
      </c>
      <c r="Q17">
        <f t="shared" si="2"/>
        <v>8.1349010940832329</v>
      </c>
      <c r="R17">
        <f t="shared" si="8"/>
        <v>8315.4762231361219</v>
      </c>
      <c r="S17">
        <f t="shared" si="9"/>
        <v>1188.6358493911493</v>
      </c>
      <c r="T17">
        <f t="shared" si="3"/>
        <v>4.7575873756280007</v>
      </c>
      <c r="U17">
        <f t="shared" si="10"/>
        <v>8371.0580344343944</v>
      </c>
      <c r="V17" s="69">
        <f t="shared" si="11"/>
        <v>696.69748394218414</v>
      </c>
      <c r="X17" s="68">
        <f t="shared" si="17"/>
        <v>140</v>
      </c>
      <c r="Y17" cm="1">
        <f t="array" ref="Y17">X17/Linterp($Y$5,atmos_h,atmos_aspeed)</f>
        <v>0.1350238855128473</v>
      </c>
      <c r="Z17" cm="1">
        <f t="array" ref="Z17">1*W/(S*0.5*Linterp($Y$5,atmos_h,atmos_rho)*X17*X17)</f>
        <v>1.9184538645270497</v>
      </c>
      <c r="AA17">
        <f t="shared" si="4"/>
        <v>0.24818884427976382</v>
      </c>
      <c r="AB17">
        <f t="shared" si="5"/>
        <v>116.43228121456761</v>
      </c>
      <c r="AC17">
        <f t="shared" si="6"/>
        <v>-0.56063125928710678</v>
      </c>
      <c r="AD17">
        <f t="shared" si="12"/>
        <v>8399.5978804583301</v>
      </c>
      <c r="AE17">
        <f t="shared" si="13"/>
        <v>-82.191523893453081</v>
      </c>
      <c r="AF17">
        <f t="shared" si="7"/>
        <v>7.4331424066700134</v>
      </c>
      <c r="AG17">
        <f t="shared" si="14"/>
        <v>8329.4105615828994</v>
      </c>
      <c r="AH17" s="69">
        <f t="shared" si="15"/>
        <v>1086.7012913359642</v>
      </c>
    </row>
    <row r="18" spans="1:34" ht="16" thickBot="1" x14ac:dyDescent="0.4">
      <c r="A18" s="58" t="s">
        <v>107</v>
      </c>
      <c r="B18" s="59" t="s">
        <v>108</v>
      </c>
      <c r="C18" s="56" t="s">
        <v>6</v>
      </c>
      <c r="D18" s="93">
        <f>D17/H$9</f>
        <v>0.16822396689587082</v>
      </c>
      <c r="E18" s="93">
        <f>E17/I$9</f>
        <v>0.248157099603697</v>
      </c>
      <c r="L18" s="68">
        <f t="shared" si="16"/>
        <v>150</v>
      </c>
      <c r="M18" cm="1">
        <f t="array" ref="M18">L18/Linterp(M$5,atmos_h,atmos_aspeed)</f>
        <v>0.13435442697836894</v>
      </c>
      <c r="N18" cm="1">
        <f t="array" ref="N18">1*W/(S*0.5*Linterp(M$5,atmos_h,atmos_rho)*L18*L18)</f>
        <v>0.89041184931595896</v>
      </c>
      <c r="O18">
        <f t="shared" si="0"/>
        <v>6.9155662206940499E-2</v>
      </c>
      <c r="P18">
        <f t="shared" si="1"/>
        <v>69.900345591830515</v>
      </c>
      <c r="Q18">
        <f t="shared" si="2"/>
        <v>8.4402177041746054</v>
      </c>
      <c r="R18">
        <f t="shared" si="8"/>
        <v>8902.5259410194485</v>
      </c>
      <c r="S18">
        <f t="shared" si="9"/>
        <v>1320.9965440816952</v>
      </c>
      <c r="T18">
        <f t="shared" si="3"/>
        <v>4.4544802520241484</v>
      </c>
      <c r="U18">
        <f t="shared" si="10"/>
        <v>8972.8141721878019</v>
      </c>
      <c r="V18" s="69">
        <f t="shared" si="11"/>
        <v>699.00345591830512</v>
      </c>
      <c r="X18" s="68">
        <f t="shared" si="17"/>
        <v>150</v>
      </c>
      <c r="Y18" cm="1">
        <f t="array" ref="Y18">X18/Linterp($Y$5,atmos_h,atmos_aspeed)</f>
        <v>0.14466844876376497</v>
      </c>
      <c r="Z18" cm="1">
        <f t="array" ref="Z18">1*W/(S*0.5*Linterp($Y$5,atmos_h,atmos_rho)*X18*X18)</f>
        <v>1.6711864775435632</v>
      </c>
      <c r="AA18">
        <f t="shared" si="4"/>
        <v>0.19315758304891667</v>
      </c>
      <c r="AB18">
        <f t="shared" si="5"/>
        <v>104.02299628438288</v>
      </c>
      <c r="AC18">
        <f t="shared" si="6"/>
        <v>0.22937791426839318</v>
      </c>
      <c r="AD18">
        <f t="shared" si="12"/>
        <v>8999.9278776502397</v>
      </c>
      <c r="AE18">
        <f t="shared" si="13"/>
        <v>36.030502273147533</v>
      </c>
      <c r="AF18">
        <f t="shared" si="7"/>
        <v>6.6371435343504119</v>
      </c>
      <c r="AG18">
        <f t="shared" si="14"/>
        <v>8939.6824118310797</v>
      </c>
      <c r="AH18" s="69">
        <f t="shared" si="15"/>
        <v>1040.2299628438288</v>
      </c>
    </row>
    <row r="19" spans="1:34" x14ac:dyDescent="0.35">
      <c r="L19" s="68">
        <f t="shared" si="16"/>
        <v>160</v>
      </c>
      <c r="M19" cm="1">
        <f t="array" ref="M19">L19/Linterp(M$5,atmos_h,atmos_aspeed)</f>
        <v>0.14331138877692687</v>
      </c>
      <c r="N19" cm="1">
        <f t="array" ref="N19">1*W/(S*0.5*Linterp(M$5,atmos_h,atmos_rho)*L19*L19)</f>
        <v>0.78258853943785467</v>
      </c>
      <c r="O19">
        <f t="shared" si="0"/>
        <v>5.7971578967687426E-2</v>
      </c>
      <c r="P19">
        <f t="shared" si="1"/>
        <v>66.669032884632287</v>
      </c>
      <c r="Q19">
        <f t="shared" si="2"/>
        <v>8.6482382957267045</v>
      </c>
      <c r="R19">
        <f t="shared" si="8"/>
        <v>9490.8492890302277</v>
      </c>
      <c r="S19">
        <f t="shared" si="9"/>
        <v>1443.5303158972556</v>
      </c>
      <c r="T19">
        <f t="shared" si="3"/>
        <v>4.2481737198394161</v>
      </c>
      <c r="U19">
        <f t="shared" si="10"/>
        <v>9573.6244490064673</v>
      </c>
      <c r="V19" s="69">
        <f t="shared" si="11"/>
        <v>711.13635076941114</v>
      </c>
      <c r="X19" s="68">
        <f t="shared" si="17"/>
        <v>160</v>
      </c>
      <c r="Y19" cm="1">
        <f t="array" ref="Y19">X19/Linterp($Y$5,atmos_h,atmos_aspeed)</f>
        <v>0.15431301201468264</v>
      </c>
      <c r="Z19" cm="1">
        <f t="array" ref="Z19">1*W/(S*0.5*Linterp($Y$5,atmos_h,atmos_rho)*X19*X19)</f>
        <v>1.4688162400285227</v>
      </c>
      <c r="AA19">
        <f t="shared" si="4"/>
        <v>0.15376011111223464</v>
      </c>
      <c r="AB19">
        <f t="shared" si="5"/>
        <v>94.214712657537007</v>
      </c>
      <c r="AC19">
        <f t="shared" si="6"/>
        <v>0.85382363170907305</v>
      </c>
      <c r="AD19">
        <f t="shared" si="12"/>
        <v>9598.9340808193356</v>
      </c>
      <c r="AE19">
        <f t="shared" si="13"/>
        <v>143.05422777771341</v>
      </c>
      <c r="AF19">
        <f t="shared" si="7"/>
        <v>6.0089039575118415</v>
      </c>
      <c r="AG19">
        <f t="shared" si="14"/>
        <v>9547.2541371206735</v>
      </c>
      <c r="AH19" s="69">
        <f t="shared" si="15"/>
        <v>1004.9569350137281</v>
      </c>
    </row>
    <row r="20" spans="1:34" ht="15.5" x14ac:dyDescent="0.35">
      <c r="A20" s="91" t="s">
        <v>211</v>
      </c>
      <c r="L20" s="68">
        <f t="shared" si="16"/>
        <v>170</v>
      </c>
      <c r="M20" cm="1">
        <f t="array" ref="M20">L20/Linterp(M$5,atmos_h,atmos_aspeed)</f>
        <v>0.1522683505754848</v>
      </c>
      <c r="N20" cm="1">
        <f t="array" ref="N20">1*W/(S*0.5*Linterp(M$5,atmos_h,atmos_rho)*L20*L20)</f>
        <v>0.69322721832557366</v>
      </c>
      <c r="O20">
        <f t="shared" si="0"/>
        <v>4.9794966526099577E-2</v>
      </c>
      <c r="P20">
        <f t="shared" si="1"/>
        <v>64.647591278567006</v>
      </c>
      <c r="Q20">
        <f t="shared" si="2"/>
        <v>8.7784298784974304</v>
      </c>
      <c r="R20">
        <f t="shared" si="8"/>
        <v>10080.516240561923</v>
      </c>
      <c r="S20">
        <f t="shared" si="9"/>
        <v>1556.6606321762408</v>
      </c>
      <c r="T20">
        <f t="shared" si="3"/>
        <v>4.1191408928002717</v>
      </c>
      <c r="U20">
        <f t="shared" si="10"/>
        <v>10173.651788467068</v>
      </c>
      <c r="V20" s="69">
        <f t="shared" si="11"/>
        <v>732.67270115709243</v>
      </c>
      <c r="X20" s="68">
        <f t="shared" si="17"/>
        <v>170</v>
      </c>
      <c r="Y20" cm="1">
        <f t="array" ref="Y20">X20/Linterp($Y$5,atmos_h,atmos_aspeed)</f>
        <v>0.16395757526560029</v>
      </c>
      <c r="Z20" cm="1">
        <f t="array" ref="Z20">1*W/(S*0.5*Linterp($Y$5,atmos_h,atmos_rho)*X20*X20)</f>
        <v>1.3010967385719785</v>
      </c>
      <c r="AA20">
        <f t="shared" si="4"/>
        <v>0.12495686883360364</v>
      </c>
      <c r="AB20">
        <f t="shared" si="5"/>
        <v>86.435680465754828</v>
      </c>
      <c r="AC20">
        <f t="shared" si="6"/>
        <v>1.3491452724724218</v>
      </c>
      <c r="AD20">
        <f t="shared" si="12"/>
        <v>10197.172371981829</v>
      </c>
      <c r="AE20">
        <f t="shared" si="13"/>
        <v>240.1574818540185</v>
      </c>
      <c r="AF20">
        <f t="shared" si="7"/>
        <v>5.5111607045148832</v>
      </c>
      <c r="AG20">
        <f t="shared" si="14"/>
        <v>10152.850597807714</v>
      </c>
      <c r="AH20" s="69">
        <f t="shared" si="15"/>
        <v>979.60437861188802</v>
      </c>
    </row>
    <row r="21" spans="1:34" ht="15.5" x14ac:dyDescent="0.35">
      <c r="A21" s="91" t="s">
        <v>212</v>
      </c>
      <c r="L21" s="68">
        <f t="shared" si="16"/>
        <v>180</v>
      </c>
      <c r="M21" cm="1">
        <f t="array" ref="M21">L21/Linterp(M$5,atmos_h,atmos_aspeed)</f>
        <v>0.16122531237404272</v>
      </c>
      <c r="N21" cm="1">
        <f t="array" ref="N21">1*W/(S*0.5*Linterp(M$5,atmos_h,atmos_rho)*L21*L21)</f>
        <v>0.61834156202497148</v>
      </c>
      <c r="O21">
        <f t="shared" si="0"/>
        <v>4.3705469814303857E-2</v>
      </c>
      <c r="P21">
        <f t="shared" si="1"/>
        <v>63.613583896993404</v>
      </c>
      <c r="Q21">
        <f t="shared" si="2"/>
        <v>8.8450430705619336</v>
      </c>
      <c r="R21">
        <f t="shared" si="8"/>
        <v>10671.564307855519</v>
      </c>
      <c r="S21">
        <f t="shared" si="9"/>
        <v>1660.6369932360788</v>
      </c>
      <c r="T21">
        <f t="shared" si="3"/>
        <v>4.0531461791655436</v>
      </c>
      <c r="U21">
        <f t="shared" si="10"/>
        <v>10772.988300369789</v>
      </c>
      <c r="V21" s="69">
        <f t="shared" si="11"/>
        <v>763.36300676392079</v>
      </c>
      <c r="X21" s="68">
        <f t="shared" si="17"/>
        <v>180</v>
      </c>
      <c r="Y21" cm="1">
        <f t="array" ref="Y21">X21/Linterp($Y$5,atmos_h,atmos_aspeed)</f>
        <v>0.17360213851651796</v>
      </c>
      <c r="Z21" cm="1">
        <f t="array" ref="Z21">1*W/(S*0.5*Linterp($Y$5,atmos_h,atmos_rho)*X21*X21)</f>
        <v>1.160546164960808</v>
      </c>
      <c r="AA21">
        <f t="shared" si="4"/>
        <v>0.10350577886232482</v>
      </c>
      <c r="AB21">
        <f t="shared" si="5"/>
        <v>80.268414810744048</v>
      </c>
      <c r="AC21">
        <f t="shared" si="6"/>
        <v>1.7419092508890401</v>
      </c>
      <c r="AD21">
        <f t="shared" si="12"/>
        <v>10795.009246787655</v>
      </c>
      <c r="AE21">
        <f t="shared" si="13"/>
        <v>328.29158041144308</v>
      </c>
      <c r="AF21">
        <f t="shared" si="7"/>
        <v>5.1168448713863777</v>
      </c>
      <c r="AG21">
        <f t="shared" si="14"/>
        <v>10756.960785838299</v>
      </c>
      <c r="AH21" s="69">
        <f t="shared" si="15"/>
        <v>963.22097772892857</v>
      </c>
    </row>
    <row r="22" spans="1:34" x14ac:dyDescent="0.35">
      <c r="L22" s="68">
        <f t="shared" si="16"/>
        <v>190</v>
      </c>
      <c r="M22" cm="1">
        <f t="array" ref="M22">L22/Linterp(M$5,atmos_h,atmos_aspeed)</f>
        <v>0.17018227417260065</v>
      </c>
      <c r="N22" cm="1">
        <f t="array" ref="N22">1*W/(S*0.5*Linterp(M$5,atmos_h,atmos_rho)*L22*L22)</f>
        <v>0.55496583406119326</v>
      </c>
      <c r="O22">
        <f t="shared" si="0"/>
        <v>3.9095198772464625E-2</v>
      </c>
      <c r="P22">
        <f t="shared" si="1"/>
        <v>63.401522644614573</v>
      </c>
      <c r="Q22">
        <f t="shared" si="2"/>
        <v>8.8587060425097892</v>
      </c>
      <c r="R22">
        <f t="shared" si="8"/>
        <v>11264.010669364256</v>
      </c>
      <c r="S22">
        <f t="shared" si="9"/>
        <v>1755.5807131682152</v>
      </c>
      <c r="T22">
        <f t="shared" si="3"/>
        <v>4.0396122037995221</v>
      </c>
      <c r="U22">
        <f t="shared" si="10"/>
        <v>11371.677666522803</v>
      </c>
      <c r="V22" s="69">
        <f t="shared" si="11"/>
        <v>803.08595349845143</v>
      </c>
      <c r="X22" s="68">
        <f t="shared" si="17"/>
        <v>190</v>
      </c>
      <c r="Y22" cm="1">
        <f t="array" ref="Y22">X22/Linterp($Y$5,atmos_h,atmos_aspeed)</f>
        <v>0.18324670176743563</v>
      </c>
      <c r="Z22" cm="1">
        <f t="array" ref="Z22">1*W/(S*0.5*Linterp($Y$5,atmos_h,atmos_rho)*X22*X22)</f>
        <v>1.0415982200756282</v>
      </c>
      <c r="AA22">
        <f t="shared" si="4"/>
        <v>8.7265464828012437E-2</v>
      </c>
      <c r="AB22">
        <f t="shared" si="5"/>
        <v>75.402316201643131</v>
      </c>
      <c r="AC22">
        <f t="shared" si="6"/>
        <v>2.0518649383418182</v>
      </c>
      <c r="AD22">
        <f t="shared" si="12"/>
        <v>11392.690617037862</v>
      </c>
      <c r="AE22">
        <f t="shared" si="13"/>
        <v>408.1672505940237</v>
      </c>
      <c r="AF22">
        <f t="shared" si="7"/>
        <v>4.805893972297322</v>
      </c>
      <c r="AG22">
        <f t="shared" si="14"/>
        <v>11359.920405566723</v>
      </c>
      <c r="AH22" s="69">
        <f t="shared" si="15"/>
        <v>955.09600522081291</v>
      </c>
    </row>
    <row r="23" spans="1:34" x14ac:dyDescent="0.35">
      <c r="L23" s="68">
        <f t="shared" si="16"/>
        <v>200</v>
      </c>
      <c r="M23" cm="1">
        <f t="array" ref="M23">L23/Linterp(M$5,atmos_h,atmos_aspeed)</f>
        <v>0.17913923597115858</v>
      </c>
      <c r="N23" cm="1">
        <f t="array" ref="N23">1*W/(S*0.5*Linterp(M$5,atmos_h,atmos_rho)*L23*L23)</f>
        <v>0.50085666524022698</v>
      </c>
      <c r="O23">
        <f t="shared" si="0"/>
        <v>3.5553158745164772E-2</v>
      </c>
      <c r="P23">
        <f t="shared" si="1"/>
        <v>63.886227520404667</v>
      </c>
      <c r="Q23">
        <f t="shared" si="2"/>
        <v>8.8274775597034587</v>
      </c>
      <c r="R23">
        <f t="shared" si="8"/>
        <v>11857.858797543544</v>
      </c>
      <c r="S23">
        <f t="shared" si="9"/>
        <v>1841.5169663946044</v>
      </c>
      <c r="T23">
        <f t="shared" si="3"/>
        <v>4.0705469190423198</v>
      </c>
      <c r="U23">
        <f t="shared" si="10"/>
        <v>11969.728855618045</v>
      </c>
      <c r="V23" s="69">
        <f t="shared" si="11"/>
        <v>851.81636693872872</v>
      </c>
      <c r="X23" s="68">
        <f t="shared" si="17"/>
        <v>200</v>
      </c>
      <c r="Y23" cm="1">
        <f t="array" ref="Y23">X23/Linterp($Y$5,atmos_h,atmos_aspeed)</f>
        <v>0.1928912650183533</v>
      </c>
      <c r="Z23" cm="1">
        <f t="array" ref="Z23">1*W/(S*0.5*Linterp($Y$5,atmos_h,atmos_rho)*X23*X23)</f>
        <v>0.94004239361825448</v>
      </c>
      <c r="AA23">
        <f t="shared" si="4"/>
        <v>7.4788141511571316E-2</v>
      </c>
      <c r="AB23">
        <f t="shared" si="5"/>
        <v>71.602438163813389</v>
      </c>
      <c r="AC23">
        <f t="shared" si="6"/>
        <v>2.2939469346601031</v>
      </c>
      <c r="AD23">
        <f t="shared" si="12"/>
        <v>11990.383551582572</v>
      </c>
      <c r="AE23">
        <f t="shared" si="13"/>
        <v>480.31477797179014</v>
      </c>
      <c r="AF23">
        <f t="shared" si="7"/>
        <v>4.5631752324340829</v>
      </c>
      <c r="AG23">
        <f t="shared" si="14"/>
        <v>11961.962610051336</v>
      </c>
      <c r="AH23" s="69">
        <f t="shared" si="15"/>
        <v>954.69917551751189</v>
      </c>
    </row>
    <row r="24" spans="1:34" x14ac:dyDescent="0.35">
      <c r="A24" t="s">
        <v>213</v>
      </c>
      <c r="L24" s="68">
        <f t="shared" si="16"/>
        <v>210</v>
      </c>
      <c r="M24" cm="1">
        <f t="array" ref="M24">L24/Linterp(M$5,atmos_h,atmos_aspeed)</f>
        <v>0.18809619776971651</v>
      </c>
      <c r="N24" cm="1">
        <f t="array" ref="N24">1*W/(S*0.5*Linterp(M$5,atmos_h,atmos_rho)*L24*L24)</f>
        <v>0.45429175985508113</v>
      </c>
      <c r="O24">
        <f t="shared" si="0"/>
        <v>3.2795622190478053E-2</v>
      </c>
      <c r="P24">
        <f t="shared" si="1"/>
        <v>64.971594423913515</v>
      </c>
      <c r="Q24">
        <f t="shared" si="2"/>
        <v>8.7575592973365808</v>
      </c>
      <c r="R24">
        <f t="shared" si="8"/>
        <v>12453.102037195151</v>
      </c>
      <c r="S24">
        <f t="shared" si="9"/>
        <v>1918.397678065211</v>
      </c>
      <c r="T24">
        <f t="shared" si="3"/>
        <v>4.1398212628608668</v>
      </c>
      <c r="U24">
        <f t="shared" si="10"/>
        <v>12567.124715539783</v>
      </c>
      <c r="V24" s="69">
        <f t="shared" si="11"/>
        <v>909.6023219347893</v>
      </c>
      <c r="X24" s="68">
        <f t="shared" si="17"/>
        <v>210</v>
      </c>
      <c r="Y24" cm="1">
        <f t="array" ref="Y24">X24/Linterp($Y$5,atmos_h,atmos_aspeed)</f>
        <v>0.20253582826927094</v>
      </c>
      <c r="Z24" cm="1">
        <f t="array" ref="Z24">1*W/(S*0.5*Linterp($Y$5,atmos_h,atmos_rho)*X24*X24)</f>
        <v>0.85264616201202204</v>
      </c>
      <c r="AA24">
        <f t="shared" si="4"/>
        <v>6.5074339610817544E-2</v>
      </c>
      <c r="AB24">
        <f t="shared" si="5"/>
        <v>68.688405881676871</v>
      </c>
      <c r="AC24">
        <f t="shared" si="6"/>
        <v>2.4796211519677898</v>
      </c>
      <c r="AD24">
        <f t="shared" si="12"/>
        <v>12588.20227784193</v>
      </c>
      <c r="AE24">
        <f t="shared" si="13"/>
        <v>545.12696882029059</v>
      </c>
      <c r="AF24">
        <f t="shared" si="7"/>
        <v>4.3770960586713308</v>
      </c>
      <c r="AG24">
        <f t="shared" si="14"/>
        <v>12563.250095731481</v>
      </c>
      <c r="AH24" s="69">
        <f t="shared" si="15"/>
        <v>961.63768234347617</v>
      </c>
    </row>
    <row r="25" spans="1:34" x14ac:dyDescent="0.35">
      <c r="A25" t="s">
        <v>214</v>
      </c>
      <c r="L25" s="68">
        <f t="shared" si="16"/>
        <v>220</v>
      </c>
      <c r="M25" cm="1">
        <f t="array" ref="M25">L25/Linterp(M$5,atmos_h,atmos_aspeed)</f>
        <v>0.19705315956827443</v>
      </c>
      <c r="N25" cm="1">
        <f t="array" ref="N25">1*W/(S*0.5*Linterp(M$5,atmos_h,atmos_rho)*L25*L25)</f>
        <v>0.41393112829770823</v>
      </c>
      <c r="O25">
        <f t="shared" si="0"/>
        <v>3.0623016696376452E-2</v>
      </c>
      <c r="P25">
        <f t="shared" si="1"/>
        <v>66.582851935012116</v>
      </c>
      <c r="Q25">
        <f t="shared" si="2"/>
        <v>8.6537878838735374</v>
      </c>
      <c r="R25">
        <f t="shared" si="8"/>
        <v>13049.725461034097</v>
      </c>
      <c r="S25">
        <f t="shared" si="9"/>
        <v>1986.1181716198223</v>
      </c>
      <c r="T25">
        <f t="shared" si="3"/>
        <v>4.2426721745053699</v>
      </c>
      <c r="U25">
        <f t="shared" si="10"/>
        <v>13163.827446332687</v>
      </c>
      <c r="V25" s="69">
        <f t="shared" si="11"/>
        <v>976.54849504684432</v>
      </c>
      <c r="X25" s="68">
        <f t="shared" si="17"/>
        <v>220</v>
      </c>
      <c r="Y25" cm="1">
        <f t="array" ref="Y25">X25/Linterp($Y$5,atmos_h,atmos_aspeed)</f>
        <v>0.21218039152018861</v>
      </c>
      <c r="Z25" cm="1">
        <f t="array" ref="Z25">1*W/(S*0.5*Linterp($Y$5,atmos_h,atmos_rho)*X25*X25)</f>
        <v>0.77689454018037551</v>
      </c>
      <c r="AA25">
        <f t="shared" si="4"/>
        <v>5.742103784684878E-2</v>
      </c>
      <c r="AB25">
        <f t="shared" si="5"/>
        <v>66.519883187961838</v>
      </c>
      <c r="AC25">
        <f t="shared" si="6"/>
        <v>2.6178103282463177</v>
      </c>
      <c r="AD25">
        <f t="shared" si="12"/>
        <v>13186.224750515843</v>
      </c>
      <c r="AE25">
        <f t="shared" si="13"/>
        <v>602.89039541479167</v>
      </c>
      <c r="AF25">
        <f t="shared" si="7"/>
        <v>4.2386524545732147</v>
      </c>
      <c r="AG25">
        <f t="shared" si="14"/>
        <v>13163.895925988534</v>
      </c>
      <c r="AH25" s="69">
        <f t="shared" si="15"/>
        <v>975.6249534234405</v>
      </c>
    </row>
    <row r="26" spans="1:34" x14ac:dyDescent="0.35">
      <c r="A26" t="s">
        <v>215</v>
      </c>
      <c r="L26" s="68">
        <f t="shared" si="16"/>
        <v>230</v>
      </c>
      <c r="M26" cm="1">
        <f t="array" ref="M26">L26/Linterp(M$5,atmos_h,atmos_aspeed)</f>
        <v>0.20601012136683236</v>
      </c>
      <c r="N26" cm="1">
        <f t="array" ref="N26">1*W/(S*0.5*Linterp(M$5,atmos_h,atmos_rho)*L26*L26)</f>
        <v>0.37871959564478413</v>
      </c>
      <c r="O26">
        <f t="shared" si="0"/>
        <v>2.8892568991771624E-2</v>
      </c>
      <c r="P26">
        <f t="shared" si="1"/>
        <v>68.661121292978947</v>
      </c>
      <c r="Q26">
        <f t="shared" si="2"/>
        <v>8.5199812228468499</v>
      </c>
      <c r="R26">
        <f t="shared" si="8"/>
        <v>13647.706738934512</v>
      </c>
      <c r="S26">
        <f t="shared" si="9"/>
        <v>2044.5294735076559</v>
      </c>
      <c r="T26">
        <f t="shared" si="3"/>
        <v>4.3753539888038304</v>
      </c>
      <c r="U26">
        <f t="shared" si="10"/>
        <v>13759.782121557599</v>
      </c>
      <c r="V26" s="69">
        <f t="shared" si="11"/>
        <v>1052.8038598256771</v>
      </c>
      <c r="X26" s="68">
        <f t="shared" si="17"/>
        <v>230</v>
      </c>
      <c r="Y26" cm="1">
        <f t="array" ref="Y26">X26/Linterp($Y$5,atmos_h,atmos_aspeed)</f>
        <v>0.22182495477110628</v>
      </c>
      <c r="Z26" cm="1">
        <f t="array" ref="Z26">1*W/(S*0.5*Linterp($Y$5,atmos_h,atmos_rho)*X26*X26)</f>
        <v>0.71080710292495608</v>
      </c>
      <c r="AA26">
        <f t="shared" si="4"/>
        <v>5.132529772925129E-2</v>
      </c>
      <c r="AB26">
        <f t="shared" si="5"/>
        <v>64.986362356599841</v>
      </c>
      <c r="AC26">
        <f t="shared" si="6"/>
        <v>2.7155431428962031</v>
      </c>
      <c r="AD26">
        <f t="shared" si="12"/>
        <v>13784.503417167751</v>
      </c>
      <c r="AE26">
        <f t="shared" si="13"/>
        <v>653.8084903781662</v>
      </c>
      <c r="AF26">
        <f t="shared" si="7"/>
        <v>4.1407638786407226</v>
      </c>
      <c r="AG26">
        <f t="shared" si="14"/>
        <v>13763.977344460518</v>
      </c>
      <c r="AH26" s="69">
        <f t="shared" si="15"/>
        <v>996.45755613453093</v>
      </c>
    </row>
    <row r="27" spans="1:34" ht="15.5" x14ac:dyDescent="0.35">
      <c r="A27" s="91"/>
      <c r="L27" s="68">
        <f t="shared" si="16"/>
        <v>240</v>
      </c>
      <c r="M27" cm="1">
        <f t="array" ref="M27">L27/Linterp(M$5,atmos_h,atmos_aspeed)</f>
        <v>0.21496708316539029</v>
      </c>
      <c r="N27" cm="1">
        <f t="array" ref="N27">1*W/(S*0.5*Linterp(M$5,atmos_h,atmos_rho)*L27*L27)</f>
        <v>0.34781712863904651</v>
      </c>
      <c r="O27">
        <f t="shared" si="0"/>
        <v>2.7500558808432086E-2</v>
      </c>
      <c r="P27">
        <f t="shared" si="1"/>
        <v>71.159528642058802</v>
      </c>
      <c r="Q27">
        <f t="shared" si="2"/>
        <v>8.3591863995123816</v>
      </c>
      <c r="R27">
        <f t="shared" si="8"/>
        <v>14247.016438189328</v>
      </c>
      <c r="S27">
        <f t="shared" si="9"/>
        <v>2093.4475417270592</v>
      </c>
      <c r="T27">
        <f t="shared" si="3"/>
        <v>4.5348896316683787</v>
      </c>
      <c r="U27">
        <f t="shared" si="10"/>
        <v>14354.918958313929</v>
      </c>
      <c r="V27" s="69">
        <f t="shared" si="11"/>
        <v>1138.5524582729411</v>
      </c>
      <c r="X27" s="68">
        <f t="shared" si="17"/>
        <v>240</v>
      </c>
      <c r="Y27" cm="1">
        <f t="array" ref="Y27">X27/Linterp($Y$5,atmos_h,atmos_aspeed)</f>
        <v>0.23146951802202395</v>
      </c>
      <c r="Z27" cm="1">
        <f t="array" ref="Z27">1*W/(S*0.5*Linterp($Y$5,atmos_h,atmos_rho)*X27*X27)</f>
        <v>0.65280721779045447</v>
      </c>
      <c r="AA27">
        <f t="shared" si="4"/>
        <v>4.6421750343157459E-2</v>
      </c>
      <c r="AB27">
        <f t="shared" si="5"/>
        <v>63.99986729658464</v>
      </c>
      <c r="AC27">
        <f t="shared" si="6"/>
        <v>2.7784176203056616</v>
      </c>
      <c r="AD27">
        <f t="shared" si="12"/>
        <v>14383.072330371395</v>
      </c>
      <c r="AE27">
        <f t="shared" si="13"/>
        <v>698.01886744180797</v>
      </c>
      <c r="AF27">
        <f t="shared" si="7"/>
        <v>4.0777997805267532</v>
      </c>
      <c r="AG27">
        <f t="shared" si="14"/>
        <v>14363.545117707572</v>
      </c>
      <c r="AH27" s="69">
        <f t="shared" si="15"/>
        <v>1023.9978767453546</v>
      </c>
    </row>
    <row r="28" spans="1:34" x14ac:dyDescent="0.35">
      <c r="L28" s="68">
        <f t="shared" si="16"/>
        <v>250</v>
      </c>
      <c r="M28" cm="1">
        <f t="array" ref="M28">L28/Linterp(M$5,atmos_h,atmos_aspeed)</f>
        <v>0.22392404496394822</v>
      </c>
      <c r="N28" cm="1">
        <f t="array" ref="N28">1*W/(S*0.5*Linterp(M$5,atmos_h,atmos_rho)*L28*L28)</f>
        <v>0.32054826575374529</v>
      </c>
      <c r="O28">
        <f t="shared" si="0"/>
        <v>2.6370573822019492E-2</v>
      </c>
      <c r="P28">
        <f t="shared" si="1"/>
        <v>74.040383229058975</v>
      </c>
      <c r="Q28">
        <f t="shared" si="2"/>
        <v>8.1738598712736241</v>
      </c>
      <c r="R28">
        <f t="shared" si="8"/>
        <v>14847.617995226577</v>
      </c>
      <c r="S28">
        <f t="shared" si="9"/>
        <v>2132.6602795156837</v>
      </c>
      <c r="T28">
        <f t="shared" si="3"/>
        <v>4.7188902437139806</v>
      </c>
      <c r="U28">
        <f t="shared" si="10"/>
        <v>14949.154766623784</v>
      </c>
      <c r="V28" s="69">
        <f t="shared" si="11"/>
        <v>1234.0063871509831</v>
      </c>
      <c r="X28" s="68">
        <f t="shared" si="17"/>
        <v>250</v>
      </c>
      <c r="Y28" cm="1">
        <f t="array" ref="Y28">X28/Linterp($Y$5,atmos_h,atmos_aspeed)</f>
        <v>0.24111408127294162</v>
      </c>
      <c r="Z28" cm="1">
        <f t="array" ref="Z28">1*W/(S*0.5*Linterp($Y$5,atmos_h,atmos_rho)*X28*X28)</f>
        <v>0.60162713191568284</v>
      </c>
      <c r="AA28">
        <f t="shared" si="4"/>
        <v>4.2441222763139608E-2</v>
      </c>
      <c r="AB28">
        <f t="shared" si="5"/>
        <v>63.48965739826194</v>
      </c>
      <c r="AC28">
        <f t="shared" si="6"/>
        <v>2.8109372682354383</v>
      </c>
      <c r="AD28">
        <f t="shared" si="12"/>
        <v>14981.951912180753</v>
      </c>
      <c r="AE28">
        <f t="shared" si="13"/>
        <v>735.6064852239283</v>
      </c>
      <c r="AF28">
        <f t="shared" si="7"/>
        <v>4.045237030343805</v>
      </c>
      <c r="AG28">
        <f t="shared" si="14"/>
        <v>14962.629962337758</v>
      </c>
      <c r="AH28" s="69">
        <f t="shared" si="15"/>
        <v>1058.160956637699</v>
      </c>
    </row>
    <row r="29" spans="1:34" x14ac:dyDescent="0.35">
      <c r="L29" s="68">
        <f t="shared" si="16"/>
        <v>260</v>
      </c>
      <c r="M29" cm="1">
        <f t="array" ref="M29">L29/Linterp(M$5,atmos_h,atmos_aspeed)</f>
        <v>0.23288100676250614</v>
      </c>
      <c r="N29" cm="1">
        <f t="array" ref="N29">1*W/(S*0.5*Linterp(M$5,atmos_h,atmos_rho)*L29*L29)</f>
        <v>0.29636489067469052</v>
      </c>
      <c r="O29">
        <f t="shared" si="0"/>
        <v>2.5445593202326519E-2</v>
      </c>
      <c r="P29">
        <f t="shared" si="1"/>
        <v>77.273100163647726</v>
      </c>
      <c r="Q29">
        <f t="shared" si="2"/>
        <v>7.9660002703822883</v>
      </c>
      <c r="R29">
        <f t="shared" si="8"/>
        <v>15449.467499044544</v>
      </c>
      <c r="S29">
        <f t="shared" si="9"/>
        <v>2161.9329304967723</v>
      </c>
      <c r="T29">
        <f t="shared" si="3"/>
        <v>4.9254225433228003</v>
      </c>
      <c r="U29">
        <f t="shared" si="10"/>
        <v>15542.393849110929</v>
      </c>
      <c r="V29" s="69">
        <f t="shared" si="11"/>
        <v>1339.4004028365603</v>
      </c>
      <c r="X29" s="68">
        <f t="shared" si="17"/>
        <v>260</v>
      </c>
      <c r="Y29" cm="1">
        <f t="array" ref="Y29">X29/Linterp($Y$5,atmos_h,atmos_aspeed)</f>
        <v>0.25075864452385926</v>
      </c>
      <c r="Z29" cm="1">
        <f t="array" ref="Z29">1*W/(S*0.5*Linterp($Y$5,atmos_h,atmos_rho)*X29*X29)</f>
        <v>0.55623810273269492</v>
      </c>
      <c r="AA29">
        <f t="shared" si="4"/>
        <v>3.9182851269763425E-2</v>
      </c>
      <c r="AB29">
        <f t="shared" si="5"/>
        <v>63.398328826340361</v>
      </c>
      <c r="AC29">
        <f t="shared" si="6"/>
        <v>2.816758444287125</v>
      </c>
      <c r="AD29">
        <f t="shared" si="12"/>
        <v>15581.152182130831</v>
      </c>
      <c r="AE29">
        <f t="shared" si="13"/>
        <v>766.61377321285954</v>
      </c>
      <c r="AF29">
        <f t="shared" si="7"/>
        <v>4.0394083726375518</v>
      </c>
      <c r="AG29">
        <f t="shared" si="14"/>
        <v>15561.24703208826</v>
      </c>
      <c r="AH29" s="69">
        <f t="shared" si="15"/>
        <v>1098.904366323233</v>
      </c>
    </row>
    <row r="30" spans="1:34" x14ac:dyDescent="0.35">
      <c r="L30" s="68">
        <f t="shared" si="16"/>
        <v>270</v>
      </c>
      <c r="M30" cm="1">
        <f t="array" ref="M30">L30/Linterp(M$5,atmos_h,atmos_aspeed)</f>
        <v>0.24183796856106407</v>
      </c>
      <c r="N30" cm="1">
        <f t="array" ref="N30">1*W/(S*0.5*Linterp(M$5,atmos_h,atmos_rho)*L30*L30)</f>
        <v>0.27481847201109849</v>
      </c>
      <c r="O30">
        <f t="shared" si="0"/>
        <v>2.4682561938627924E-2</v>
      </c>
      <c r="P30">
        <f t="shared" si="1"/>
        <v>80.832651394219269</v>
      </c>
      <c r="Q30">
        <f t="shared" si="2"/>
        <v>7.7372475295816781</v>
      </c>
      <c r="R30">
        <f t="shared" si="8"/>
        <v>16052.513368837848</v>
      </c>
      <c r="S30">
        <f t="shared" si="9"/>
        <v>2181.0122749040534</v>
      </c>
      <c r="T30">
        <f t="shared" si="3"/>
        <v>5.1529100263258529</v>
      </c>
      <c r="U30">
        <f t="shared" si="10"/>
        <v>16134.528524869267</v>
      </c>
      <c r="V30" s="69">
        <f t="shared" si="11"/>
        <v>1454.9877250959466</v>
      </c>
      <c r="X30" s="68">
        <f t="shared" si="17"/>
        <v>270</v>
      </c>
      <c r="Y30" cm="1">
        <f t="array" ref="Y30">X30/Linterp($Y$5,atmos_h,atmos_aspeed)</f>
        <v>0.26040320777477693</v>
      </c>
      <c r="Z30" cm="1">
        <f t="array" ref="Z30">1*W/(S*0.5*Linterp($Y$5,atmos_h,atmos_rho)*X30*X30)</f>
        <v>0.51579829553813683</v>
      </c>
      <c r="AA30">
        <f t="shared" si="4"/>
        <v>3.6494968664162922E-2</v>
      </c>
      <c r="AB30">
        <f t="shared" si="5"/>
        <v>63.678907204372727</v>
      </c>
      <c r="AC30">
        <f t="shared" si="6"/>
        <v>2.7988747999345782</v>
      </c>
      <c r="AD30">
        <f t="shared" si="12"/>
        <v>16180.674963014724</v>
      </c>
      <c r="AE30">
        <f t="shared" si="13"/>
        <v>791.04850753184837</v>
      </c>
      <c r="AF30">
        <f t="shared" si="7"/>
        <v>4.0573152279357139</v>
      </c>
      <c r="AG30">
        <f t="shared" si="14"/>
        <v>16159.399090183744</v>
      </c>
      <c r="AH30" s="69">
        <f t="shared" si="15"/>
        <v>1146.220329678709</v>
      </c>
    </row>
    <row r="31" spans="1:34" x14ac:dyDescent="0.35">
      <c r="L31" s="68">
        <f t="shared" si="16"/>
        <v>280</v>
      </c>
      <c r="M31" cm="1">
        <f t="array" ref="M31">L31/Linterp(M$5,atmos_h,atmos_aspeed)</f>
        <v>0.25079493035962203</v>
      </c>
      <c r="N31" cm="1">
        <f t="array" ref="N31">1*W/(S*0.5*Linterp(M$5,atmos_h,atmos_rho)*L31*L31)</f>
        <v>0.25553911491848313</v>
      </c>
      <c r="O31">
        <f t="shared" si="0"/>
        <v>2.4048614833705947E-2</v>
      </c>
      <c r="P31">
        <f t="shared" si="1"/>
        <v>84.698396788451348</v>
      </c>
      <c r="Q31">
        <f t="shared" si="2"/>
        <v>7.4889577340699702</v>
      </c>
      <c r="R31">
        <f t="shared" si="8"/>
        <v>16656.695974426304</v>
      </c>
      <c r="S31">
        <f t="shared" si="9"/>
        <v>2189.6299266155747</v>
      </c>
      <c r="T31">
        <f t="shared" si="3"/>
        <v>5.4000584977083443</v>
      </c>
      <c r="U31">
        <f t="shared" si="10"/>
        <v>16725.439391137341</v>
      </c>
      <c r="V31" s="69">
        <f t="shared" si="11"/>
        <v>1581.0367400510922</v>
      </c>
      <c r="X31" s="68">
        <f t="shared" si="17"/>
        <v>280</v>
      </c>
      <c r="Y31" cm="1">
        <f t="array" ref="Y31">X31/Linterp($Y$5,atmos_h,atmos_aspeed)</f>
        <v>0.27004777102569461</v>
      </c>
      <c r="Z31" cm="1">
        <f t="array" ref="Z31">1*W/(S*0.5*Linterp($Y$5,atmos_h,atmos_rho)*X31*X31)</f>
        <v>0.47961346613176242</v>
      </c>
      <c r="AA31">
        <f t="shared" si="4"/>
        <v>3.4261802767485236E-2</v>
      </c>
      <c r="AB31">
        <f t="shared" si="5"/>
        <v>64.292653705985302</v>
      </c>
      <c r="AC31">
        <f t="shared" si="6"/>
        <v>2.7597564687622635</v>
      </c>
      <c r="AD31">
        <f t="shared" si="12"/>
        <v>16780.515396418941</v>
      </c>
      <c r="AE31">
        <f t="shared" si="13"/>
        <v>808.88999903996353</v>
      </c>
      <c r="AF31">
        <f t="shared" si="7"/>
        <v>4.0964866668038011</v>
      </c>
      <c r="AG31">
        <f t="shared" si="14"/>
        <v>16757.078775764952</v>
      </c>
      <c r="AH31" s="69">
        <f t="shared" si="15"/>
        <v>1200.1295358450589</v>
      </c>
    </row>
    <row r="32" spans="1:34" x14ac:dyDescent="0.35">
      <c r="L32" s="68">
        <f t="shared" si="16"/>
        <v>290</v>
      </c>
      <c r="M32" cm="1">
        <f t="array" ref="M32">L32/Linterp(M$5,atmos_h,atmos_aspeed)</f>
        <v>0.25975189215817995</v>
      </c>
      <c r="N32" cm="1">
        <f t="array" ref="N32">1*W/(S*0.5*Linterp(M$5,atmos_h,atmos_rho)*L32*L32)</f>
        <v>0.23821957918679043</v>
      </c>
      <c r="O32">
        <f t="shared" si="0"/>
        <v>2.3518411210291756E-2</v>
      </c>
      <c r="P32">
        <f t="shared" si="1"/>
        <v>88.853192342622918</v>
      </c>
      <c r="Q32">
        <f t="shared" si="2"/>
        <v>7.2222602487676966</v>
      </c>
      <c r="R32">
        <f t="shared" si="8"/>
        <v>17261.947228000932</v>
      </c>
      <c r="S32">
        <f t="shared" si="9"/>
        <v>2187.5049480426237</v>
      </c>
      <c r="T32">
        <f t="shared" si="3"/>
        <v>5.6657993347050484</v>
      </c>
      <c r="U32">
        <f t="shared" si="10"/>
        <v>17314.995398171188</v>
      </c>
      <c r="V32" s="69">
        <f t="shared" si="11"/>
        <v>1717.8283852907095</v>
      </c>
      <c r="X32" s="68">
        <f t="shared" si="17"/>
        <v>290</v>
      </c>
      <c r="Y32" cm="1">
        <f t="array" ref="Y32">X32/Linterp($Y$5,atmos_h,atmos_aspeed)</f>
        <v>0.27969233427661228</v>
      </c>
      <c r="Z32" cm="1">
        <f t="array" ref="Z32">1*W/(S*0.5*Linterp($Y$5,atmos_h,atmos_rho)*X32*X32)</f>
        <v>0.44710696486004964</v>
      </c>
      <c r="AA32">
        <f t="shared" si="4"/>
        <v>3.239408755763467E-2</v>
      </c>
      <c r="AB32">
        <f t="shared" si="5"/>
        <v>65.207391280511587</v>
      </c>
      <c r="AC32">
        <f t="shared" si="6"/>
        <v>2.7014562677493252</v>
      </c>
      <c r="AD32">
        <f t="shared" si="12"/>
        <v>17380.662985896142</v>
      </c>
      <c r="AE32">
        <f t="shared" si="13"/>
        <v>820.09400113626361</v>
      </c>
      <c r="AF32">
        <f t="shared" si="7"/>
        <v>4.1548719694010803</v>
      </c>
      <c r="AG32">
        <f t="shared" si="14"/>
        <v>17354.270236443954</v>
      </c>
      <c r="AH32" s="69">
        <f t="shared" si="15"/>
        <v>1260.6762314232242</v>
      </c>
    </row>
    <row r="33" spans="12:34" x14ac:dyDescent="0.35">
      <c r="L33" s="68">
        <f t="shared" si="16"/>
        <v>300</v>
      </c>
      <c r="M33" cm="1">
        <f t="array" ref="M33">L33/Linterp(M$5,atmos_h,atmos_aspeed)</f>
        <v>0.26870885395673788</v>
      </c>
      <c r="N33" cm="1">
        <f t="array" ref="N33">1*W/(S*0.5*Linterp(M$5,atmos_h,atmos_rho)*L33*L33)</f>
        <v>0.22260296232898974</v>
      </c>
      <c r="O33">
        <f t="shared" si="0"/>
        <v>2.3072228887933782E-2</v>
      </c>
      <c r="P33">
        <f t="shared" si="1"/>
        <v>93.28270289795762</v>
      </c>
      <c r="Q33">
        <f t="shared" si="2"/>
        <v>6.9381017467906316</v>
      </c>
      <c r="R33">
        <f t="shared" si="8"/>
        <v>17868.190163649211</v>
      </c>
      <c r="S33">
        <f t="shared" si="9"/>
        <v>2174.3459420408476</v>
      </c>
      <c r="T33">
        <f t="shared" si="3"/>
        <v>5.949245830767353</v>
      </c>
      <c r="U33">
        <f t="shared" si="10"/>
        <v>17903.053787999983</v>
      </c>
      <c r="V33" s="69">
        <f t="shared" si="11"/>
        <v>1865.6540579591522</v>
      </c>
      <c r="X33" s="68">
        <f t="shared" si="17"/>
        <v>300</v>
      </c>
      <c r="Y33" cm="1">
        <f t="array" ref="Y33">X33/Linterp($Y$5,atmos_h,atmos_aspeed)</f>
        <v>0.28933689752752995</v>
      </c>
      <c r="Z33" cm="1">
        <f t="array" ref="Z33">1*W/(S*0.5*Linterp($Y$5,atmos_h,atmos_rho)*X33*X33)</f>
        <v>0.4177966193858908</v>
      </c>
      <c r="AA33">
        <f t="shared" si="4"/>
        <v>3.0822348940557291E-2</v>
      </c>
      <c r="AB33">
        <f t="shared" si="5"/>
        <v>66.396214711540964</v>
      </c>
      <c r="AC33">
        <f t="shared" si="6"/>
        <v>2.625691557448333</v>
      </c>
      <c r="AD33">
        <f t="shared" si="12"/>
        <v>17981.102312925432</v>
      </c>
      <c r="AE33">
        <f t="shared" si="13"/>
        <v>824.59663600313343</v>
      </c>
      <c r="AF33">
        <f t="shared" si="7"/>
        <v>4.2307579222295635</v>
      </c>
      <c r="AG33">
        <f t="shared" si="14"/>
        <v>17950.950311022298</v>
      </c>
      <c r="AH33" s="69">
        <f t="shared" si="15"/>
        <v>1327.9242942308197</v>
      </c>
    </row>
    <row r="34" spans="12:34" x14ac:dyDescent="0.35">
      <c r="L34" s="68">
        <f t="shared" si="16"/>
        <v>310</v>
      </c>
      <c r="M34" cm="1">
        <f t="array" ref="M34">L34/Linterp(M$5,atmos_h,atmos_aspeed)</f>
        <v>0.27766581575529581</v>
      </c>
      <c r="N34" cm="1">
        <f t="array" ref="N34">1*W/(S*0.5*Linterp(M$5,atmos_h,atmos_rho)*L34*L34)</f>
        <v>0.20847311768583848</v>
      </c>
      <c r="O34">
        <f t="shared" si="0"/>
        <v>2.2694584529454515E-2</v>
      </c>
      <c r="P34">
        <f t="shared" si="1"/>
        <v>97.974867470869768</v>
      </c>
      <c r="Q34">
        <f t="shared" si="2"/>
        <v>6.6372804495330868</v>
      </c>
      <c r="R34">
        <f t="shared" si="8"/>
        <v>18475.338513837632</v>
      </c>
      <c r="S34">
        <f t="shared" si="9"/>
        <v>2149.852738935358</v>
      </c>
      <c r="T34">
        <f t="shared" si="3"/>
        <v>6.2496593000132039</v>
      </c>
      <c r="U34">
        <f t="shared" si="10"/>
        <v>18489.459931487054</v>
      </c>
      <c r="V34" s="69">
        <f t="shared" si="11"/>
        <v>2024.8139277313085</v>
      </c>
      <c r="X34" s="68">
        <f t="shared" si="17"/>
        <v>310</v>
      </c>
      <c r="Y34" cm="1">
        <f t="array" ref="Y34">X34/Linterp($Y$5,atmos_h,atmos_aspeed)</f>
        <v>0.29898146077844762</v>
      </c>
      <c r="Z34" cm="1">
        <f t="array" ref="Z34">1*W/(S*0.5*Linterp($Y$5,atmos_h,atmos_rho)*X34*X34)</f>
        <v>0.39127675072560014</v>
      </c>
      <c r="AA34">
        <f t="shared" si="4"/>
        <v>2.9492044730819775E-2</v>
      </c>
      <c r="AB34">
        <f t="shared" si="5"/>
        <v>67.836487111783754</v>
      </c>
      <c r="AC34">
        <f t="shared" si="6"/>
        <v>2.5339079362700021</v>
      </c>
      <c r="AD34">
        <f t="shared" si="12"/>
        <v>18581.813523684483</v>
      </c>
      <c r="AE34">
        <f t="shared" si="13"/>
        <v>822.31756093155377</v>
      </c>
      <c r="AF34">
        <f t="shared" si="7"/>
        <v>4.3227045460731297</v>
      </c>
      <c r="AG34">
        <f t="shared" si="14"/>
        <v>18547.08938874472</v>
      </c>
      <c r="AH34" s="69">
        <f t="shared" si="15"/>
        <v>1401.9540669768642</v>
      </c>
    </row>
    <row r="35" spans="12:34" x14ac:dyDescent="0.35">
      <c r="L35" s="68">
        <f t="shared" si="16"/>
        <v>320</v>
      </c>
      <c r="M35" cm="1">
        <f t="array" ref="M35">L35/Linterp(M$5,atmos_h,atmos_aspeed)</f>
        <v>0.28662277755385374</v>
      </c>
      <c r="N35" cm="1">
        <f t="array" ref="N35">1*W/(S*0.5*Linterp(M$5,atmos_h,atmos_rho)*L35*L35)</f>
        <v>0.19564713485946367</v>
      </c>
      <c r="O35">
        <f t="shared" si="0"/>
        <v>2.2373223685480465E-2</v>
      </c>
      <c r="P35">
        <f t="shared" si="1"/>
        <v>102.91947966115806</v>
      </c>
      <c r="Q35">
        <f t="shared" si="2"/>
        <v>6.3204729761492926</v>
      </c>
      <c r="R35">
        <f t="shared" si="8"/>
        <v>19083.29628760456</v>
      </c>
      <c r="S35">
        <f t="shared" si="9"/>
        <v>2113.717767228628</v>
      </c>
      <c r="T35">
        <f t="shared" si="3"/>
        <v>6.5664225421593585</v>
      </c>
      <c r="U35">
        <f t="shared" si="10"/>
        <v>19074.047087230301</v>
      </c>
      <c r="V35" s="69">
        <f t="shared" si="11"/>
        <v>2195.6155661047051</v>
      </c>
      <c r="X35" s="68">
        <f t="shared" si="17"/>
        <v>320</v>
      </c>
      <c r="Y35" cm="1">
        <f t="array" ref="Y35">X35/Linterp($Y$5,atmos_h,atmos_aspeed)</f>
        <v>0.30862602402936529</v>
      </c>
      <c r="Z35" cm="1">
        <f t="array" ref="Z35">1*W/(S*0.5*Linterp($Y$5,atmos_h,atmos_rho)*X35*X35)</f>
        <v>0.36720406000713068</v>
      </c>
      <c r="AA35">
        <f t="shared" si="4"/>
        <v>2.8360006944514668E-2</v>
      </c>
      <c r="AB35">
        <f t="shared" si="5"/>
        <v>69.509052404179727</v>
      </c>
      <c r="AC35">
        <f t="shared" si="6"/>
        <v>2.4273292345273179</v>
      </c>
      <c r="AD35">
        <f t="shared" si="12"/>
        <v>19182.772653659296</v>
      </c>
      <c r="AE35">
        <f t="shared" si="13"/>
        <v>813.16254096038222</v>
      </c>
      <c r="AF35">
        <f t="shared" si="7"/>
        <v>4.4294947038133436</v>
      </c>
      <c r="AG35">
        <f t="shared" si="14"/>
        <v>19142.652033068702</v>
      </c>
      <c r="AH35" s="69">
        <f t="shared" si="15"/>
        <v>1482.8597846225007</v>
      </c>
    </row>
    <row r="36" spans="12:34" x14ac:dyDescent="0.35">
      <c r="L36" s="68">
        <f>10+L35</f>
        <v>330</v>
      </c>
      <c r="M36" cm="1">
        <f t="array" ref="M36">L36/Linterp(M$5,atmos_h,atmos_aspeed)</f>
        <v>0.29557973935241166</v>
      </c>
      <c r="N36" cm="1">
        <f t="array" ref="N36">1*W/(S*0.5*Linterp(M$5,atmos_h,atmos_rho)*L36*L36)</f>
        <v>0.18396939035453697</v>
      </c>
      <c r="O36">
        <f t="shared" si="0"/>
        <v>2.2098373668420039E-2</v>
      </c>
      <c r="P36">
        <f t="shared" si="1"/>
        <v>108.10785567778316</v>
      </c>
      <c r="Q36">
        <f t="shared" si="2"/>
        <v>5.9882555587860997</v>
      </c>
      <c r="R36">
        <f t="shared" si="8"/>
        <v>19691.957352521735</v>
      </c>
      <c r="S36">
        <f t="shared" si="9"/>
        <v>2065.6271750887704</v>
      </c>
      <c r="T36">
        <f t="shared" si="3"/>
        <v>6.899018913338959</v>
      </c>
      <c r="U36">
        <f t="shared" si="10"/>
        <v>19656.636098420397</v>
      </c>
      <c r="V36" s="69">
        <f t="shared" si="11"/>
        <v>2378.3728249112301</v>
      </c>
      <c r="X36" s="68">
        <f>10+X35</f>
        <v>330</v>
      </c>
      <c r="Y36" cm="1">
        <f t="array" ref="Y36">X36/Linterp($Y$5,atmos_h,atmos_aspeed)</f>
        <v>0.3182705872802829</v>
      </c>
      <c r="Z36" cm="1">
        <f t="array" ref="Z36">1*W/(S*0.5*Linterp($Y$5,atmos_h,atmos_rho)*X36*X36)</f>
        <v>0.34528646230238913</v>
      </c>
      <c r="AA36">
        <f t="shared" si="4"/>
        <v>2.739180994505655E-2</v>
      </c>
      <c r="AB36">
        <f t="shared" si="5"/>
        <v>71.3976122497413</v>
      </c>
      <c r="AC36">
        <f t="shared" si="6"/>
        <v>2.3069970749391238</v>
      </c>
      <c r="AD36">
        <f t="shared" si="12"/>
        <v>19783.951836441793</v>
      </c>
      <c r="AE36">
        <f t="shared" si="13"/>
        <v>797.0255537630394</v>
      </c>
      <c r="AF36">
        <f t="shared" si="7"/>
        <v>4.5500942646177398</v>
      </c>
      <c r="AG36">
        <f t="shared" si="14"/>
        <v>19737.597431984403</v>
      </c>
      <c r="AH36" s="69">
        <f t="shared" si="15"/>
        <v>1570.7474694943082</v>
      </c>
    </row>
    <row r="37" spans="12:34" x14ac:dyDescent="0.35">
      <c r="L37" s="68">
        <f t="shared" ref="L37:L65" si="18">10+L36</f>
        <v>340</v>
      </c>
      <c r="M37" cm="1">
        <f t="array" ref="M37">L37/Linterp(M$5,atmos_h,atmos_aspeed)</f>
        <v>0.30453670115096959</v>
      </c>
      <c r="N37" cm="1">
        <f t="array" ref="N37">1*W/(S*0.5*Linterp(M$5,atmos_h,atmos_rho)*L37*L37)</f>
        <v>0.17330680458139341</v>
      </c>
      <c r="O37">
        <f t="shared" si="0"/>
        <v>2.1862185407881225E-2</v>
      </c>
      <c r="P37">
        <f t="shared" si="1"/>
        <v>113.53256967964174</v>
      </c>
      <c r="Q37">
        <f t="shared" si="2"/>
        <v>5.6411209235835766</v>
      </c>
      <c r="R37">
        <f t="shared" si="8"/>
        <v>20301.205020841327</v>
      </c>
      <c r="S37">
        <f t="shared" si="9"/>
        <v>2005.2617539281207</v>
      </c>
      <c r="T37">
        <f t="shared" si="3"/>
        <v>7.247015706420683</v>
      </c>
      <c r="U37">
        <f t="shared" si="10"/>
        <v>20237.035038638769</v>
      </c>
      <c r="V37" s="69">
        <f t="shared" si="11"/>
        <v>2573.404912738546</v>
      </c>
      <c r="X37" s="68">
        <f t="shared" ref="X37:X65" si="19">10+X36</f>
        <v>340</v>
      </c>
      <c r="Y37" cm="1">
        <f t="array" ref="Y37">X37/Linterp($Y$5,atmos_h,atmos_aspeed)</f>
        <v>0.32791515053120057</v>
      </c>
      <c r="Z37" cm="1">
        <f t="array" ref="Z37">1*W/(S*0.5*Linterp($Y$5,atmos_h,atmos_rho)*X37*X37)</f>
        <v>0.32527418464299462</v>
      </c>
      <c r="AA37">
        <f t="shared" si="4"/>
        <v>2.6559804302100226E-2</v>
      </c>
      <c r="AB37">
        <f t="shared" si="5"/>
        <v>73.4882293168328</v>
      </c>
      <c r="AC37">
        <f t="shared" si="6"/>
        <v>2.1738024148938728</v>
      </c>
      <c r="AD37">
        <f t="shared" si="12"/>
        <v>20385.319429098628</v>
      </c>
      <c r="AE37">
        <f t="shared" si="13"/>
        <v>773.79052308360315</v>
      </c>
      <c r="AF37">
        <f t="shared" si="7"/>
        <v>4.6836203711037854</v>
      </c>
      <c r="AG37">
        <f t="shared" si="14"/>
        <v>20331.879719140245</v>
      </c>
      <c r="AH37" s="69">
        <f t="shared" si="15"/>
        <v>1665.73319784821</v>
      </c>
    </row>
    <row r="38" spans="12:34" x14ac:dyDescent="0.35">
      <c r="L38" s="68">
        <f t="shared" si="18"/>
        <v>350</v>
      </c>
      <c r="M38" cm="1">
        <f t="array" ref="M38">L38/Linterp(M$5,atmos_h,atmos_aspeed)</f>
        <v>0.31349366294952752</v>
      </c>
      <c r="N38" cm="1">
        <f t="array" ref="N38">1*W/(S*0.5*Linterp(M$5,atmos_h,atmos_rho)*L38*L38)</f>
        <v>0.1635450335478292</v>
      </c>
      <c r="O38">
        <f t="shared" si="0"/>
        <v>2.1658312635885957E-2</v>
      </c>
      <c r="P38">
        <f t="shared" si="1"/>
        <v>119.18724127196887</v>
      </c>
      <c r="Q38">
        <f t="shared" si="2"/>
        <v>5.2794918091113656</v>
      </c>
      <c r="R38">
        <f t="shared" si="8"/>
        <v>20910.911639248374</v>
      </c>
      <c r="S38">
        <f t="shared" si="9"/>
        <v>1932.2977036540594</v>
      </c>
      <c r="T38">
        <f t="shared" si="3"/>
        <v>7.6100508735377304</v>
      </c>
      <c r="U38">
        <f t="shared" si="10"/>
        <v>20815.038813955027</v>
      </c>
      <c r="V38" s="69">
        <f t="shared" si="11"/>
        <v>2781.0356296792743</v>
      </c>
      <c r="X38" s="68">
        <f t="shared" si="19"/>
        <v>350</v>
      </c>
      <c r="Y38" cm="1">
        <f t="array" ref="Y38">X38/Linterp($Y$5,atmos_h,atmos_aspeed)</f>
        <v>0.33755971378211824</v>
      </c>
      <c r="Z38" cm="1">
        <f t="array" ref="Z38">1*W/(S*0.5*Linterp($Y$5,atmos_h,atmos_rho)*X38*X38)</f>
        <v>0.30695261832432796</v>
      </c>
      <c r="AA38">
        <f t="shared" si="4"/>
        <v>2.5841634413561954E-2</v>
      </c>
      <c r="AB38">
        <f t="shared" si="5"/>
        <v>75.768928439736513</v>
      </c>
      <c r="AC38">
        <f t="shared" si="6"/>
        <v>2.0285108741360101</v>
      </c>
      <c r="AD38">
        <f t="shared" si="12"/>
        <v>20986.840076946446</v>
      </c>
      <c r="AE38">
        <f t="shared" si="13"/>
        <v>743.33275501242622</v>
      </c>
      <c r="AF38">
        <f t="shared" si="7"/>
        <v>4.8293159800047363</v>
      </c>
      <c r="AG38">
        <f t="shared" si="14"/>
        <v>20925.448197688122</v>
      </c>
      <c r="AH38" s="69">
        <f t="shared" si="15"/>
        <v>1767.9416635938521</v>
      </c>
    </row>
    <row r="39" spans="12:34" x14ac:dyDescent="0.35">
      <c r="L39" s="68">
        <f t="shared" si="18"/>
        <v>360</v>
      </c>
      <c r="M39" cm="1">
        <f t="array" ref="M39">L39/Linterp(M$5,atmos_h,atmos_aspeed)</f>
        <v>0.32245062474808545</v>
      </c>
      <c r="N39" cm="1">
        <f t="array" ref="N39">1*W/(S*0.5*Linterp(M$5,atmos_h,atmos_rho)*L39*L39)</f>
        <v>0.15458539050624287</v>
      </c>
      <c r="O39">
        <f t="shared" si="0"/>
        <v>2.1481591863393993E-2</v>
      </c>
      <c r="P39">
        <f t="shared" si="1"/>
        <v>125.06636373424834</v>
      </c>
      <c r="Q39">
        <f t="shared" si="2"/>
        <v>4.9037318551356535</v>
      </c>
      <c r="R39">
        <f t="shared" si="8"/>
        <v>21520.938181034187</v>
      </c>
      <c r="S39">
        <f t="shared" si="9"/>
        <v>1846.4072703780398</v>
      </c>
      <c r="T39">
        <f t="shared" si="3"/>
        <v>7.9878223624579761</v>
      </c>
      <c r="U39">
        <f t="shared" si="10"/>
        <v>21390.428726079346</v>
      </c>
      <c r="V39" s="69">
        <f t="shared" si="11"/>
        <v>3001.5927296219597</v>
      </c>
      <c r="X39" s="68">
        <f t="shared" si="19"/>
        <v>360</v>
      </c>
      <c r="Y39" cm="1">
        <f t="array" ref="Y39">X39/Linterp($Y$5,atmos_h,atmos_aspeed)</f>
        <v>0.34720427703303591</v>
      </c>
      <c r="Z39" cm="1">
        <f t="array" ref="Z39">1*W/(S*0.5*Linterp($Y$5,atmos_h,atmos_rho)*X39*X39)</f>
        <v>0.29013654124020199</v>
      </c>
      <c r="AA39">
        <f t="shared" si="4"/>
        <v>2.52191111788953E-2</v>
      </c>
      <c r="AB39">
        <f t="shared" si="5"/>
        <v>78.229374224927142</v>
      </c>
      <c r="AC39">
        <f t="shared" si="6"/>
        <v>1.8717832073718805</v>
      </c>
      <c r="AD39">
        <f t="shared" si="12"/>
        <v>21588.474733970332</v>
      </c>
      <c r="AE39">
        <f t="shared" si="13"/>
        <v>705.52013488249167</v>
      </c>
      <c r="AF39">
        <f t="shared" si="7"/>
        <v>4.9865292991914743</v>
      </c>
      <c r="AG39">
        <f t="shared" si="14"/>
        <v>21518.247490091399</v>
      </c>
      <c r="AH39" s="69">
        <f t="shared" si="15"/>
        <v>1877.5049813982516</v>
      </c>
    </row>
    <row r="40" spans="12:34" x14ac:dyDescent="0.35">
      <c r="L40" s="68">
        <f t="shared" si="18"/>
        <v>370</v>
      </c>
      <c r="M40" cm="1">
        <f t="array" ref="M40">L40/Linterp(M$5,atmos_h,atmos_aspeed)</f>
        <v>0.33140758654664337</v>
      </c>
      <c r="N40" cm="1">
        <f t="array" ref="N40">1*W/(S*0.5*Linterp(M$5,atmos_h,atmos_rho)*L40*L40)</f>
        <v>0.14634234192555934</v>
      </c>
      <c r="O40">
        <f t="shared" ref="O40:O65" si="20">CD0+K*N40*N40</f>
        <v>2.1327797024495953E-2</v>
      </c>
      <c r="P40">
        <f t="shared" si="1"/>
        <v>131.1651642954462</v>
      </c>
      <c r="Q40">
        <f t="shared" ref="Q40:Q65" si="21">DEGREES(ASIN(($H$11-P40)/W))</f>
        <v>4.5141544192435816</v>
      </c>
      <c r="R40">
        <f t="shared" si="8"/>
        <v>22131.133839140835</v>
      </c>
      <c r="S40">
        <f t="shared" si="9"/>
        <v>1747.2592807123276</v>
      </c>
      <c r="T40">
        <f t="shared" ref="T40:T65" si="22">DEGREES(ASIN((P40)/W))</f>
        <v>8.3800795136547546</v>
      </c>
      <c r="U40">
        <f t="shared" si="10"/>
        <v>21962.971999411013</v>
      </c>
      <c r="V40" s="69">
        <f t="shared" si="11"/>
        <v>3235.4073859543396</v>
      </c>
      <c r="X40" s="68">
        <f t="shared" si="19"/>
        <v>370</v>
      </c>
      <c r="Y40" cm="1">
        <f t="array" ref="Y40">X40/Linterp($Y$5,atmos_h,atmos_aspeed)</f>
        <v>0.35684884028395358</v>
      </c>
      <c r="Z40" cm="1">
        <f t="array" ref="Z40">1*W/(S*0.5*Linterp($Y$5,atmos_h,atmos_rho)*X40*X40)</f>
        <v>0.27466541814996476</v>
      </c>
      <c r="AA40">
        <f t="shared" ref="AA40:AA65" si="23">CD0+K*Z40*Z40</f>
        <v>2.4677347699504689E-2</v>
      </c>
      <c r="AB40">
        <f t="shared" si="5"/>
        <v>80.860608805976355</v>
      </c>
      <c r="AC40">
        <f t="shared" ref="AC40:AC65" si="24">DEGREES(ASIN(($I$11-AB40)/W))</f>
        <v>1.704191955471513</v>
      </c>
      <c r="AD40">
        <f t="shared" si="12"/>
        <v>22190.180650514092</v>
      </c>
      <c r="AE40">
        <f t="shared" si="13"/>
        <v>660.21413007445835</v>
      </c>
      <c r="AF40">
        <f t="shared" ref="AF40:AF65" si="25">DEGREES(ASIN((AB40)/W))</f>
        <v>5.1546970752071033</v>
      </c>
      <c r="AG40">
        <f t="shared" si="14"/>
        <v>22110.217630977648</v>
      </c>
      <c r="AH40" s="69">
        <f t="shared" si="15"/>
        <v>1994.56168388075</v>
      </c>
    </row>
    <row r="41" spans="12:34" x14ac:dyDescent="0.35">
      <c r="L41" s="68">
        <f t="shared" si="18"/>
        <v>380</v>
      </c>
      <c r="M41" cm="1">
        <f t="array" ref="M41">L41/Linterp(M$5,atmos_h,atmos_aspeed)</f>
        <v>0.3403645483452013</v>
      </c>
      <c r="N41" cm="1">
        <f t="array" ref="N41">1*W/(S*0.5*Linterp(M$5,atmos_h,atmos_rho)*L41*L41)</f>
        <v>0.13874145851529832</v>
      </c>
      <c r="O41">
        <f t="shared" si="20"/>
        <v>2.119344992327904E-2</v>
      </c>
      <c r="P41">
        <f t="shared" si="1"/>
        <v>137.47948980115365</v>
      </c>
      <c r="Q41">
        <f t="shared" si="21"/>
        <v>4.111029748842765</v>
      </c>
      <c r="R41">
        <f t="shared" si="8"/>
        <v>22741.335618303852</v>
      </c>
      <c r="S41">
        <f t="shared" si="9"/>
        <v>1634.5195917041074</v>
      </c>
      <c r="T41">
        <f t="shared" si="22"/>
        <v>8.7866160946856642</v>
      </c>
      <c r="U41">
        <f t="shared" si="10"/>
        <v>22532.421273381133</v>
      </c>
      <c r="V41" s="69">
        <f t="shared" si="11"/>
        <v>3482.8137416292257</v>
      </c>
      <c r="X41" s="68">
        <f t="shared" si="19"/>
        <v>380</v>
      </c>
      <c r="Y41" cm="1">
        <f t="array" ref="Y41">X41/Linterp($Y$5,atmos_h,atmos_aspeed)</f>
        <v>0.36649340353487125</v>
      </c>
      <c r="Z41" cm="1">
        <f t="array" ref="Z41">1*W/(S*0.5*Linterp($Y$5,atmos_h,atmos_rho)*X41*X41)</f>
        <v>0.26039955501890705</v>
      </c>
      <c r="AA41">
        <f t="shared" si="23"/>
        <v>2.4204091551750778E-2</v>
      </c>
      <c r="AB41">
        <f t="shared" si="5"/>
        <v>83.654837255747353</v>
      </c>
      <c r="AC41">
        <f t="shared" si="24"/>
        <v>1.5262350676638203</v>
      </c>
      <c r="AD41">
        <f t="shared" si="12"/>
        <v>22791.911336623205</v>
      </c>
      <c r="AE41">
        <f t="shared" si="13"/>
        <v>607.27063448407387</v>
      </c>
      <c r="AF41">
        <f t="shared" si="25"/>
        <v>5.3333309304688079</v>
      </c>
      <c r="AG41">
        <f t="shared" si="14"/>
        <v>22701.294115692697</v>
      </c>
      <c r="AH41" s="69">
        <f t="shared" si="15"/>
        <v>2119.2558771455997</v>
      </c>
    </row>
    <row r="42" spans="12:34" x14ac:dyDescent="0.35">
      <c r="L42" s="68">
        <f t="shared" si="18"/>
        <v>390</v>
      </c>
      <c r="M42" cm="1">
        <f t="array" ref="M42">L42/Linterp(M$5,atmos_h,atmos_aspeed)</f>
        <v>0.34932151014375923</v>
      </c>
      <c r="N42" cm="1">
        <f t="array" ref="N42">1*W/(S*0.5*Linterp(M$5,atmos_h,atmos_rho)*L42*L42)</f>
        <v>0.13171772918875133</v>
      </c>
      <c r="O42">
        <f t="shared" si="20"/>
        <v>2.1075672731323755E-2</v>
      </c>
      <c r="P42">
        <f t="shared" si="1"/>
        <v>144.00571263273233</v>
      </c>
      <c r="Q42">
        <f t="shared" si="21"/>
        <v>3.6945908388177502</v>
      </c>
      <c r="R42">
        <f t="shared" si="8"/>
        <v>23351.367924379669</v>
      </c>
      <c r="S42">
        <f t="shared" si="9"/>
        <v>1507.8514715489594</v>
      </c>
      <c r="T42">
        <f t="shared" si="22"/>
        <v>9.2072646454326215</v>
      </c>
      <c r="U42">
        <f t="shared" si="10"/>
        <v>23098.514060365396</v>
      </c>
      <c r="V42" s="69">
        <f t="shared" si="11"/>
        <v>3744.1485284510413</v>
      </c>
      <c r="X42" s="68">
        <f t="shared" si="19"/>
        <v>390</v>
      </c>
      <c r="Y42" cm="1">
        <f t="array" ref="Y42">X42/Linterp($Y$5,atmos_h,atmos_aspeed)</f>
        <v>0.37613796678578892</v>
      </c>
      <c r="Z42" cm="1">
        <f t="array" ref="Z42">1*W/(S*0.5*Linterp($Y$5,atmos_h,atmos_rho)*X42*X42)</f>
        <v>0.24721693454786442</v>
      </c>
      <c r="AA42">
        <f t="shared" si="23"/>
        <v>2.3789205189089072E-2</v>
      </c>
      <c r="AB42">
        <f t="shared" si="5"/>
        <v>86.60525100894678</v>
      </c>
      <c r="AC42">
        <f t="shared" si="24"/>
        <v>1.3383471068548516</v>
      </c>
      <c r="AD42">
        <f t="shared" si="12"/>
        <v>23393.616507110386</v>
      </c>
      <c r="AE42">
        <f t="shared" si="13"/>
        <v>546.54068307152227</v>
      </c>
      <c r="AF42">
        <f t="shared" si="25"/>
        <v>5.5220061321056617</v>
      </c>
      <c r="AG42">
        <f t="shared" si="14"/>
        <v>23291.407914001888</v>
      </c>
      <c r="AH42" s="69">
        <f t="shared" si="15"/>
        <v>2251.7365262326166</v>
      </c>
    </row>
    <row r="43" spans="12:34" x14ac:dyDescent="0.35">
      <c r="L43" s="68">
        <f t="shared" si="18"/>
        <v>400</v>
      </c>
      <c r="M43" cm="1">
        <f t="array" ref="M43">L43/Linterp(M$5,atmos_h,atmos_aspeed)</f>
        <v>0.35827847194231716</v>
      </c>
      <c r="N43" cm="1">
        <f t="array" ref="N43">1*W/(S*0.5*Linterp(M$5,atmos_h,atmos_rho)*L43*L43)</f>
        <v>0.12521416631005675</v>
      </c>
      <c r="O43">
        <f t="shared" si="20"/>
        <v>2.0972072421572799E-2</v>
      </c>
      <c r="P43">
        <f t="shared" si="1"/>
        <v>150.74065288010115</v>
      </c>
      <c r="Q43">
        <f t="shared" si="21"/>
        <v>3.2650382317923232</v>
      </c>
      <c r="R43">
        <f t="shared" si="8"/>
        <v>23961.042148848821</v>
      </c>
      <c r="S43">
        <f t="shared" si="9"/>
        <v>1366.9159231973028</v>
      </c>
      <c r="T43">
        <f t="shared" si="22"/>
        <v>9.641891880819367</v>
      </c>
      <c r="U43">
        <f t="shared" si="10"/>
        <v>23660.972168539007</v>
      </c>
      <c r="V43" s="69">
        <f t="shared" si="11"/>
        <v>4019.7507434693648</v>
      </c>
      <c r="X43" s="68">
        <f t="shared" si="19"/>
        <v>400</v>
      </c>
      <c r="Y43" cm="1">
        <f t="array" ref="Y43">X43/Linterp($Y$5,atmos_h,atmos_aspeed)</f>
        <v>0.38578253003670659</v>
      </c>
      <c r="Z43" cm="1">
        <f t="array" ref="Z43">1*W/(S*0.5*Linterp($Y$5,atmos_h,atmos_rho)*X43*X43)</f>
        <v>0.23501059840456362</v>
      </c>
      <c r="AA43">
        <f t="shared" si="23"/>
        <v>2.3424258844473207E-2</v>
      </c>
      <c r="AB43">
        <f t="shared" si="5"/>
        <v>89.705881790633754</v>
      </c>
      <c r="AC43">
        <f t="shared" si="24"/>
        <v>1.1409085143833588</v>
      </c>
      <c r="AD43">
        <f t="shared" si="12"/>
        <v>23995.242012756444</v>
      </c>
      <c r="AE43">
        <f t="shared" si="13"/>
        <v>477.87105922837026</v>
      </c>
      <c r="AF43">
        <f t="shared" si="25"/>
        <v>5.7203523119744135</v>
      </c>
      <c r="AG43">
        <f t="shared" si="14"/>
        <v>23880.485456032122</v>
      </c>
      <c r="AH43" s="69">
        <f t="shared" si="15"/>
        <v>2392.1568477502333</v>
      </c>
    </row>
    <row r="44" spans="12:34" x14ac:dyDescent="0.35">
      <c r="L44" s="68">
        <f t="shared" si="18"/>
        <v>410</v>
      </c>
      <c r="M44" cm="1">
        <f t="array" ref="M44">L44/Linterp(M$5,atmos_h,atmos_aspeed)</f>
        <v>0.36723543374087508</v>
      </c>
      <c r="N44" cm="1">
        <f t="array" ref="N44">1*W/(S*0.5*Linterp(M$5,atmos_h,atmos_rho)*L44*L44)</f>
        <v>0.11918064610118427</v>
      </c>
      <c r="O44">
        <f t="shared" si="20"/>
        <v>2.0880649637115934E-2</v>
      </c>
      <c r="P44">
        <f t="shared" si="1"/>
        <v>157.68151363644608</v>
      </c>
      <c r="Q44">
        <f t="shared" si="21"/>
        <v>2.8225439622013382</v>
      </c>
      <c r="R44">
        <f t="shared" si="8"/>
        <v>24570.156246411272</v>
      </c>
      <c r="S44">
        <f t="shared" si="9"/>
        <v>1211.3719606038071</v>
      </c>
      <c r="T44">
        <f t="shared" si="22"/>
        <v>10.090394953143257</v>
      </c>
      <c r="U44">
        <f t="shared" si="10"/>
        <v>24219.501088287914</v>
      </c>
      <c r="V44" s="69">
        <f t="shared" si="11"/>
        <v>4309.9613727295264</v>
      </c>
      <c r="X44" s="68">
        <f t="shared" si="19"/>
        <v>410</v>
      </c>
      <c r="Y44" cm="1">
        <f t="array" ref="Y44">X44/Linterp($Y$5,atmos_h,atmos_aspeed)</f>
        <v>0.39542709328762427</v>
      </c>
      <c r="Z44" cm="1">
        <f t="array" ref="Z44">1*W/(S*0.5*Linterp($Y$5,atmos_h,atmos_rho)*X44*X44)</f>
        <v>0.22368647081933477</v>
      </c>
      <c r="AA44">
        <f t="shared" si="23"/>
        <v>2.3102209508111766E-2</v>
      </c>
      <c r="AB44">
        <f t="shared" si="5"/>
        <v>92.951480172860755</v>
      </c>
      <c r="AC44">
        <f t="shared" si="24"/>
        <v>0.93425330739319967</v>
      </c>
      <c r="AD44">
        <f t="shared" si="12"/>
        <v>24596.729760860049</v>
      </c>
      <c r="AE44">
        <f t="shared" si="13"/>
        <v>401.10481326154149</v>
      </c>
      <c r="AF44">
        <f t="shared" si="25"/>
        <v>5.9280457617536664</v>
      </c>
      <c r="AG44">
        <f t="shared" si="14"/>
        <v>24468.448595808768</v>
      </c>
      <c r="AH44" s="69">
        <f t="shared" si="15"/>
        <v>2540.6737913915272</v>
      </c>
    </row>
    <row r="45" spans="12:34" x14ac:dyDescent="0.35">
      <c r="L45" s="68">
        <f t="shared" si="18"/>
        <v>420</v>
      </c>
      <c r="M45" cm="1">
        <f t="array" ref="M45">L45/Linterp(M$5,atmos_h,atmos_aspeed)</f>
        <v>0.37619239553943301</v>
      </c>
      <c r="N45" cm="1">
        <f t="array" ref="N45">1*W/(S*0.5*Linterp(M$5,atmos_h,atmos_rho)*L45*L45)</f>
        <v>0.11357293996377028</v>
      </c>
      <c r="O45">
        <f t="shared" si="20"/>
        <v>2.0799726386904877E-2</v>
      </c>
      <c r="P45">
        <f t="shared" si="1"/>
        <v>164.82582694597835</v>
      </c>
      <c r="Q45">
        <f t="shared" si="21"/>
        <v>2.3672548026793905</v>
      </c>
      <c r="R45">
        <f t="shared" si="8"/>
        <v>25178.494303521722</v>
      </c>
      <c r="S45">
        <f t="shared" si="9"/>
        <v>1040.876845512606</v>
      </c>
      <c r="T45">
        <f t="shared" si="22"/>
        <v>10.552698418686502</v>
      </c>
      <c r="U45">
        <f t="shared" si="10"/>
        <v>24773.78934012547</v>
      </c>
      <c r="V45" s="69">
        <f t="shared" si="11"/>
        <v>4615.1231544873945</v>
      </c>
      <c r="X45" s="68">
        <f t="shared" si="19"/>
        <v>420</v>
      </c>
      <c r="Y45" cm="1">
        <f t="array" ref="Y45">X45/Linterp($Y$5,atmos_h,atmos_aspeed)</f>
        <v>0.40507165653854188</v>
      </c>
      <c r="Z45" cm="1">
        <f t="array" ref="Z45">1*W/(S*0.5*Linterp($Y$5,atmos_h,atmos_rho)*X45*X45)</f>
        <v>0.21316154050300551</v>
      </c>
      <c r="AA45">
        <f t="shared" si="23"/>
        <v>2.2817146225676096E-2</v>
      </c>
      <c r="AB45">
        <f t="shared" si="5"/>
        <v>96.337414125691879</v>
      </c>
      <c r="AC45">
        <f t="shared" si="24"/>
        <v>0.71867550309840889</v>
      </c>
      <c r="AD45">
        <f t="shared" si="12"/>
        <v>25198.017627476598</v>
      </c>
      <c r="AE45">
        <f t="shared" si="13"/>
        <v>316.08170680816124</v>
      </c>
      <c r="AF45">
        <f t="shared" si="25"/>
        <v>6.1448030067781403</v>
      </c>
      <c r="AG45">
        <f t="shared" si="14"/>
        <v>25055.214556443669</v>
      </c>
      <c r="AH45" s="69">
        <f t="shared" si="15"/>
        <v>2697.447595519373</v>
      </c>
    </row>
    <row r="46" spans="12:34" x14ac:dyDescent="0.35">
      <c r="L46" s="68">
        <f t="shared" si="18"/>
        <v>430</v>
      </c>
      <c r="M46" cm="1">
        <f t="array" ref="M46">L46/Linterp(M$5,atmos_h,atmos_aspeed)</f>
        <v>0.38514935733799094</v>
      </c>
      <c r="N46" cm="1">
        <f t="array" ref="N46">1*W/(S*0.5*Linterp(M$5,atmos_h,atmos_rho)*L46*L46)</f>
        <v>0.1083519016203844</v>
      </c>
      <c r="O46">
        <f t="shared" si="20"/>
        <v>2.0727888344254715E-2</v>
      </c>
      <c r="P46">
        <f t="shared" si="1"/>
        <v>172.17140844641744</v>
      </c>
      <c r="Q46">
        <f t="shared" si="21"/>
        <v>1.8992949383349651</v>
      </c>
      <c r="R46">
        <f t="shared" si="8"/>
        <v>25785.826095640161</v>
      </c>
      <c r="S46">
        <f t="shared" si="9"/>
        <v>855.08629120270007</v>
      </c>
      <c r="T46">
        <f t="shared" si="22"/>
        <v>11.028751786104221</v>
      </c>
      <c r="U46">
        <f t="shared" si="10"/>
        <v>25323.507781453482</v>
      </c>
      <c r="V46" s="69">
        <f t="shared" si="11"/>
        <v>4935.5803754639674</v>
      </c>
      <c r="X46" s="68">
        <f t="shared" si="19"/>
        <v>430</v>
      </c>
      <c r="Y46" cm="1">
        <f t="array" ref="Y46">X46/Linterp($Y$5,atmos_h,atmos_aspeed)</f>
        <v>0.41471621978945955</v>
      </c>
      <c r="Z46" cm="1">
        <f t="array" ref="Z46">1*W/(S*0.5*Linterp($Y$5,atmos_h,atmos_rho)*X46*X46)</f>
        <v>0.20336233501746984</v>
      </c>
      <c r="AA46">
        <f t="shared" si="23"/>
        <v>2.2564086836832975E-2</v>
      </c>
      <c r="AB46">
        <f t="shared" si="5"/>
        <v>99.859583887080888</v>
      </c>
      <c r="AC46">
        <f t="shared" si="24"/>
        <v>0.49443450342358997</v>
      </c>
      <c r="AD46">
        <f t="shared" si="12"/>
        <v>25799.039363044314</v>
      </c>
      <c r="AE46">
        <f t="shared" si="13"/>
        <v>222.63859523901348</v>
      </c>
      <c r="AF46">
        <f t="shared" si="25"/>
        <v>6.3703754236733339</v>
      </c>
      <c r="AG46">
        <f t="shared" si="14"/>
        <v>25640.695860052951</v>
      </c>
      <c r="AH46" s="69">
        <f t="shared" si="15"/>
        <v>2862.6414047629855</v>
      </c>
    </row>
    <row r="47" spans="12:34" x14ac:dyDescent="0.35">
      <c r="L47" s="68">
        <f t="shared" si="18"/>
        <v>440</v>
      </c>
      <c r="M47" cm="1">
        <f t="array" ref="M47">L47/Linterp(M$5,atmos_h,atmos_aspeed)</f>
        <v>0.39410631913654887</v>
      </c>
      <c r="N47" cm="1">
        <f t="array" ref="N47">1*W/(S*0.5*Linterp(M$5,atmos_h,atmos_rho)*L47*L47)</f>
        <v>0.10348278207442706</v>
      </c>
      <c r="O47">
        <f t="shared" si="20"/>
        <v>2.0663938543523528E-2</v>
      </c>
      <c r="P47">
        <f t="shared" si="1"/>
        <v>179.716319143753</v>
      </c>
      <c r="Q47">
        <f t="shared" si="21"/>
        <v>1.418768168890878</v>
      </c>
      <c r="R47">
        <f t="shared" si="8"/>
        <v>26391.906630890328</v>
      </c>
      <c r="S47">
        <f t="shared" si="9"/>
        <v>653.65463844991223</v>
      </c>
      <c r="T47">
        <f t="shared" si="22"/>
        <v>11.518527549631003</v>
      </c>
      <c r="U47">
        <f t="shared" si="10"/>
        <v>25868.308868921296</v>
      </c>
      <c r="V47" s="69">
        <f t="shared" si="11"/>
        <v>5271.6786948834215</v>
      </c>
      <c r="X47" s="68">
        <f t="shared" si="19"/>
        <v>440</v>
      </c>
      <c r="Y47" cm="1">
        <f t="array" ref="Y47">X47/Linterp($Y$5,atmos_h,atmos_aspeed)</f>
        <v>0.42436078304037722</v>
      </c>
      <c r="Z47" cm="1">
        <f t="array" ref="Z47">1*W/(S*0.5*Linterp($Y$5,atmos_h,atmos_rho)*X47*X47)</f>
        <v>0.19422363504509388</v>
      </c>
      <c r="AA47">
        <f t="shared" si="23"/>
        <v>2.2338814865428051E-2</v>
      </c>
      <c r="AB47">
        <f t="shared" si="5"/>
        <v>103.51435021910378</v>
      </c>
      <c r="AC47">
        <f t="shared" si="24"/>
        <v>0.26175962634870903</v>
      </c>
      <c r="AD47">
        <f t="shared" si="12"/>
        <v>26399.724492621048</v>
      </c>
      <c r="AE47">
        <f t="shared" si="13"/>
        <v>120.60975791608666</v>
      </c>
      <c r="AF47">
        <f t="shared" si="25"/>
        <v>6.6045447144344385</v>
      </c>
      <c r="AG47">
        <f t="shared" si="14"/>
        <v>26224.800244741327</v>
      </c>
      <c r="AH47" s="69">
        <f t="shared" si="15"/>
        <v>3036.4209397603772</v>
      </c>
    </row>
    <row r="48" spans="12:34" x14ac:dyDescent="0.35">
      <c r="L48" s="68">
        <f t="shared" si="18"/>
        <v>450</v>
      </c>
      <c r="M48" cm="1">
        <f t="array" ref="M48">L48/Linterp(M$5,atmos_h,atmos_aspeed)</f>
        <v>0.40306328093510679</v>
      </c>
      <c r="N48" cm="1">
        <f t="array" ref="N48">1*W/(S*0.5*Linterp(M$5,atmos_h,atmos_rho)*L48*L48)</f>
        <v>9.8934649923995435E-2</v>
      </c>
      <c r="O48">
        <f t="shared" si="20"/>
        <v>2.0606860027246179E-2</v>
      </c>
      <c r="P48">
        <f t="shared" si="1"/>
        <v>187.45883306575897</v>
      </c>
      <c r="Q48">
        <f t="shared" si="21"/>
        <v>0.92575971865978024</v>
      </c>
      <c r="R48">
        <f t="shared" si="8"/>
        <v>26996.475677720817</v>
      </c>
      <c r="S48">
        <f t="shared" si="9"/>
        <v>436.235008027231</v>
      </c>
      <c r="T48">
        <f t="shared" si="22"/>
        <v>12.022019630179436</v>
      </c>
      <c r="U48">
        <f t="shared" si="10"/>
        <v>26407.825872552661</v>
      </c>
      <c r="V48" s="69">
        <f t="shared" si="11"/>
        <v>5623.7649919727701</v>
      </c>
      <c r="X48" s="68">
        <f t="shared" si="19"/>
        <v>450</v>
      </c>
      <c r="Y48" cm="1">
        <f t="array" ref="Y48">X48/Linterp($Y$5,atmos_h,atmos_aspeed)</f>
        <v>0.43400534629129489</v>
      </c>
      <c r="Z48" cm="1">
        <f t="array" ref="Z48">1*W/(S*0.5*Linterp($Y$5,atmos_h,atmos_rho)*X48*X48)</f>
        <v>0.18568738639372925</v>
      </c>
      <c r="AA48">
        <f t="shared" si="23"/>
        <v>2.2137747938875515E-2</v>
      </c>
      <c r="AB48">
        <f t="shared" si="5"/>
        <v>107.29847369783867</v>
      </c>
      <c r="AC48">
        <f t="shared" si="24"/>
        <v>2.085393347970424E-2</v>
      </c>
      <c r="AD48">
        <f t="shared" si="12"/>
        <v>26999.998211600803</v>
      </c>
      <c r="AE48">
        <f t="shared" si="13"/>
        <v>9.8271844157689259</v>
      </c>
      <c r="AF48">
        <f t="shared" si="25"/>
        <v>6.8471190867082932</v>
      </c>
      <c r="AG48">
        <f t="shared" si="14"/>
        <v>26807.43057042026</v>
      </c>
      <c r="AH48" s="69">
        <f t="shared" si="15"/>
        <v>3218.9542109351601</v>
      </c>
    </row>
    <row r="49" spans="12:34" x14ac:dyDescent="0.35">
      <c r="L49" s="68">
        <f t="shared" si="18"/>
        <v>460</v>
      </c>
      <c r="M49" cm="1">
        <f t="array" ref="M49">L49/Linterp(M$5,atmos_h,atmos_aspeed)</f>
        <v>0.41202024273366472</v>
      </c>
      <c r="N49" cm="1">
        <f t="array" ref="N49">1*W/(S*0.5*Linterp(M$5,atmos_h,atmos_rho)*L49*L49)</f>
        <v>9.4679898911196034E-2</v>
      </c>
      <c r="O49">
        <f t="shared" si="20"/>
        <v>2.0555785561985725E-2</v>
      </c>
      <c r="P49">
        <f t="shared" si="1"/>
        <v>195.39740978324468</v>
      </c>
      <c r="Q49">
        <f t="shared" si="21"/>
        <v>0.42033771856934127</v>
      </c>
      <c r="R49">
        <f t="shared" si="8"/>
        <v>27599.257274047883</v>
      </c>
      <c r="S49">
        <f t="shared" si="9"/>
        <v>202.47943331382976</v>
      </c>
      <c r="T49">
        <f t="shared" si="22"/>
        <v>12.539242163241717</v>
      </c>
      <c r="U49">
        <f t="shared" si="10"/>
        <v>26941.672037207401</v>
      </c>
      <c r="V49" s="69">
        <f t="shared" si="11"/>
        <v>5992.1872333528372</v>
      </c>
      <c r="X49" s="68">
        <f t="shared" si="19"/>
        <v>460</v>
      </c>
      <c r="Y49" cm="1">
        <f t="array" ref="Y49">X49/Linterp($Y$5,atmos_h,atmos_aspeed)</f>
        <v>0.44364990954221256</v>
      </c>
      <c r="Z49" cm="1">
        <f t="array" ref="Z49">1*W/(S*0.5*Linterp($Y$5,atmos_h,atmos_rho)*X49*X49)</f>
        <v>0.17770177573123902</v>
      </c>
      <c r="AA49">
        <f t="shared" si="23"/>
        <v>2.1957831108078207E-2</v>
      </c>
      <c r="AB49">
        <f t="shared" si="5"/>
        <v>111.20906313935232</v>
      </c>
      <c r="AC49">
        <f t="shared" si="24"/>
        <v>-0.22810252553913804</v>
      </c>
      <c r="AD49">
        <f t="shared" si="12"/>
        <v>27599.781277512939</v>
      </c>
      <c r="AE49">
        <f t="shared" si="13"/>
        <v>-109.87917658141035</v>
      </c>
      <c r="AF49">
        <f t="shared" si="25"/>
        <v>7.0979300191636483</v>
      </c>
      <c r="AG49">
        <f t="shared" si="14"/>
        <v>27388.484714787326</v>
      </c>
      <c r="AH49" s="69">
        <f t="shared" si="15"/>
        <v>3410.411269606805</v>
      </c>
    </row>
    <row r="50" spans="12:34" x14ac:dyDescent="0.35">
      <c r="L50" s="68">
        <f t="shared" si="18"/>
        <v>470</v>
      </c>
      <c r="M50" cm="1">
        <f t="array" ref="M50">L50/Linterp(M$5,atmos_h,atmos_aspeed)</f>
        <v>0.42097720453222265</v>
      </c>
      <c r="N50" cm="1">
        <f t="array" ref="N50">1*W/(S*0.5*Linterp(M$5,atmos_h,atmos_rho)*L50*L50)</f>
        <v>9.0693828019959594E-2</v>
      </c>
      <c r="O50">
        <f t="shared" si="20"/>
        <v>2.050997296733667E-2</v>
      </c>
      <c r="P50">
        <f t="shared" si="1"/>
        <v>203.53067097951376</v>
      </c>
      <c r="Q50">
        <f t="shared" si="21"/>
        <v>-9.744558803227793E-2</v>
      </c>
      <c r="R50">
        <f t="shared" si="8"/>
        <v>28199.959215221828</v>
      </c>
      <c r="S50">
        <f t="shared" si="9"/>
        <v>-47.96102402476442</v>
      </c>
      <c r="T50">
        <f t="shared" si="22"/>
        <v>13.070228585138018</v>
      </c>
      <c r="U50">
        <f t="shared" si="10"/>
        <v>27469.439686306101</v>
      </c>
      <c r="V50" s="69">
        <f t="shared" si="11"/>
        <v>6377.2943573580969</v>
      </c>
      <c r="X50" s="68">
        <f t="shared" si="19"/>
        <v>470</v>
      </c>
      <c r="Y50" cm="1">
        <f t="array" ref="Y50">X50/Linterp($Y$5,atmos_h,atmos_aspeed)</f>
        <v>0.45329447279313023</v>
      </c>
      <c r="Z50" cm="1">
        <f t="array" ref="Z50">1*W/(S*0.5*Linterp($Y$5,atmos_h,atmos_rho)*X50*X50)</f>
        <v>0.17022044248406598</v>
      </c>
      <c r="AA50">
        <f t="shared" si="23"/>
        <v>2.1796449940447216E-2</v>
      </c>
      <c r="AB50">
        <f t="shared" si="5"/>
        <v>115.24353162364024</v>
      </c>
      <c r="AC50">
        <f t="shared" si="24"/>
        <v>-0.48494995398625529</v>
      </c>
      <c r="AD50">
        <f t="shared" si="12"/>
        <v>28198.989898304575</v>
      </c>
      <c r="AE50">
        <f t="shared" si="13"/>
        <v>-238.68120017420145</v>
      </c>
      <c r="AF50">
        <f t="shared" si="25"/>
        <v>7.356829513825951</v>
      </c>
      <c r="AG50">
        <f t="shared" si="14"/>
        <v>27967.855460449788</v>
      </c>
      <c r="AH50" s="69">
        <f t="shared" si="15"/>
        <v>3610.963990874061</v>
      </c>
    </row>
    <row r="51" spans="12:34" x14ac:dyDescent="0.35">
      <c r="L51" s="68">
        <f t="shared" si="18"/>
        <v>480</v>
      </c>
      <c r="M51" cm="1">
        <f t="array" ref="M51">L51/Linterp(M$5,atmos_h,atmos_aspeed)</f>
        <v>0.42993416633078058</v>
      </c>
      <c r="N51" cm="1">
        <f t="array" ref="N51">1*W/(S*0.5*Linterp(M$5,atmos_h,atmos_rho)*L51*L51)</f>
        <v>8.6954282159761628E-2</v>
      </c>
      <c r="O51">
        <f t="shared" si="20"/>
        <v>2.0468784925527006E-2</v>
      </c>
      <c r="P51">
        <f t="shared" si="1"/>
        <v>211.85738040051467</v>
      </c>
      <c r="Q51">
        <f t="shared" si="21"/>
        <v>-0.62755287401688864</v>
      </c>
      <c r="R51">
        <f t="shared" si="8"/>
        <v>28798.272517998001</v>
      </c>
      <c r="S51">
        <f t="shared" si="9"/>
        <v>-315.43617281646948</v>
      </c>
      <c r="T51">
        <f t="shared" si="22"/>
        <v>13.615030979328292</v>
      </c>
      <c r="U51">
        <f t="shared" si="10"/>
        <v>27990.699262053233</v>
      </c>
      <c r="V51" s="69">
        <f t="shared" si="11"/>
        <v>6779.4361728164695</v>
      </c>
      <c r="X51" s="68">
        <f t="shared" si="19"/>
        <v>480</v>
      </c>
      <c r="Y51" cm="1">
        <f t="array" ref="Y51">X51/Linterp($Y$5,atmos_h,atmos_aspeed)</f>
        <v>0.4629390360440479</v>
      </c>
      <c r="Z51" cm="1">
        <f t="array" ref="Z51">1*W/(S*0.5*Linterp($Y$5,atmos_h,atmos_rho)*X51*X51)</f>
        <v>0.16320180444761362</v>
      </c>
      <c r="AA51">
        <f t="shared" si="23"/>
        <v>2.1651359396447342E-2</v>
      </c>
      <c r="AB51">
        <f t="shared" si="5"/>
        <v>119.39955886368597</v>
      </c>
      <c r="AC51">
        <f t="shared" si="24"/>
        <v>-0.74954645474497206</v>
      </c>
      <c r="AD51">
        <f t="shared" si="12"/>
        <v>28797.535617352107</v>
      </c>
      <c r="AE51">
        <f t="shared" si="13"/>
        <v>-376.75239526362657</v>
      </c>
      <c r="AF51">
        <f t="shared" si="25"/>
        <v>7.6236877555017681</v>
      </c>
      <c r="AG51">
        <f t="shared" si="14"/>
        <v>28545.430373903859</v>
      </c>
      <c r="AH51" s="69">
        <f t="shared" si="15"/>
        <v>3820.785883637951</v>
      </c>
    </row>
    <row r="52" spans="12:34" x14ac:dyDescent="0.35">
      <c r="L52" s="68">
        <f t="shared" si="18"/>
        <v>490</v>
      </c>
      <c r="M52" cm="1">
        <f t="array" ref="M52">L52/Linterp(M$5,atmos_h,atmos_aspeed)</f>
        <v>0.4388911281293385</v>
      </c>
      <c r="N52" cm="1">
        <f t="array" ref="N52">1*W/(S*0.5*Linterp(M$5,atmos_h,atmos_rho)*L52*L52)</f>
        <v>8.3441343646851629E-2</v>
      </c>
      <c r="O52">
        <f t="shared" si="20"/>
        <v>2.0431672385434703E-2</v>
      </c>
      <c r="P52">
        <f t="shared" si="1"/>
        <v>220.37642663949433</v>
      </c>
      <c r="Q52">
        <f t="shared" si="21"/>
        <v>-1.1699609577848096</v>
      </c>
      <c r="R52">
        <f t="shared" si="8"/>
        <v>29393.870857506299</v>
      </c>
      <c r="S52">
        <f t="shared" si="9"/>
        <v>-600.29660355681472</v>
      </c>
      <c r="T52">
        <f t="shared" si="22"/>
        <v>14.173719652788183</v>
      </c>
      <c r="U52">
        <f t="shared" si="10"/>
        <v>28504.998295631827</v>
      </c>
      <c r="V52" s="69">
        <f t="shared" si="11"/>
        <v>7198.9632702234812</v>
      </c>
      <c r="X52" s="68">
        <f t="shared" si="19"/>
        <v>490</v>
      </c>
      <c r="Y52" cm="1">
        <f t="array" ref="Y52">X52/Linterp($Y$5,atmos_h,atmos_aspeed)</f>
        <v>0.47258359929496557</v>
      </c>
      <c r="Z52" cm="1">
        <f t="array" ref="Z52">1*W/(S*0.5*Linterp($Y$5,atmos_h,atmos_rho)*X52*X52)</f>
        <v>0.15660847873690203</v>
      </c>
      <c r="AA52">
        <f t="shared" si="23"/>
        <v>2.1520625367961774E-2</v>
      </c>
      <c r="AB52">
        <f t="shared" si="5"/>
        <v>123.67505889450759</v>
      </c>
      <c r="AC52">
        <f t="shared" si="24"/>
        <v>-1.0217660175309835</v>
      </c>
      <c r="AD52">
        <f t="shared" si="12"/>
        <v>29395.325195327601</v>
      </c>
      <c r="AE52">
        <f t="shared" si="13"/>
        <v>-524.2677378384584</v>
      </c>
      <c r="AF52">
        <f t="shared" si="25"/>
        <v>7.898391112979942</v>
      </c>
      <c r="AG52">
        <f t="shared" si="14"/>
        <v>29121.091676863609</v>
      </c>
      <c r="AH52" s="69">
        <f t="shared" si="15"/>
        <v>4040.0519238872484</v>
      </c>
    </row>
    <row r="53" spans="12:34" x14ac:dyDescent="0.35">
      <c r="L53" s="68">
        <f t="shared" si="18"/>
        <v>500</v>
      </c>
      <c r="M53" cm="1">
        <f t="array" ref="M53">L53/Linterp(M$5,atmos_h,atmos_aspeed)</f>
        <v>0.44784808992789643</v>
      </c>
      <c r="N53" cm="1">
        <f t="array" ref="N53">1*W/(S*0.5*Linterp(M$5,atmos_h,atmos_rho)*L53*L53)</f>
        <v>8.0137066438436322E-2</v>
      </c>
      <c r="O53">
        <f t="shared" si="20"/>
        <v>2.0398160863876219E-2</v>
      </c>
      <c r="P53">
        <f t="shared" si="1"/>
        <v>229.0868083072647</v>
      </c>
      <c r="Q53">
        <f t="shared" si="21"/>
        <v>-1.7246602059285923</v>
      </c>
      <c r="R53">
        <f t="shared" si="8"/>
        <v>29986.409973996284</v>
      </c>
      <c r="S53">
        <f t="shared" si="9"/>
        <v>-902.8936102421568</v>
      </c>
      <c r="T53">
        <f t="shared" si="22"/>
        <v>14.746382919280947</v>
      </c>
      <c r="U53">
        <f t="shared" si="10"/>
        <v>29011.860299991309</v>
      </c>
      <c r="V53" s="69">
        <f t="shared" si="11"/>
        <v>7636.2269435754897</v>
      </c>
      <c r="X53" s="68">
        <f t="shared" si="19"/>
        <v>500</v>
      </c>
      <c r="Y53" cm="1">
        <f t="array" ref="Y53">X53/Linterp($Y$5,atmos_h,atmos_aspeed)</f>
        <v>0.48222816254588324</v>
      </c>
      <c r="Z53" cm="1">
        <f t="array" ref="Z53">1*W/(S*0.5*Linterp($Y$5,atmos_h,atmos_rho)*X53*X53)</f>
        <v>0.15040678297892071</v>
      </c>
      <c r="AA53">
        <f t="shared" si="23"/>
        <v>2.1402576422696225E-2</v>
      </c>
      <c r="AB53">
        <f t="shared" si="5"/>
        <v>128.06815223969113</v>
      </c>
      <c r="AC53">
        <f t="shared" si="24"/>
        <v>-1.3014967931054175</v>
      </c>
      <c r="AD53">
        <f t="shared" si="12"/>
        <v>29992.260488951433</v>
      </c>
      <c r="AE53">
        <f t="shared" si="13"/>
        <v>-681.40352426644984</v>
      </c>
      <c r="AF53">
        <f t="shared" si="25"/>
        <v>8.1808404283759621</v>
      </c>
      <c r="AG53">
        <f t="shared" si="14"/>
        <v>29694.716110257566</v>
      </c>
      <c r="AH53" s="69">
        <f t="shared" si="15"/>
        <v>4268.9384079897036</v>
      </c>
    </row>
    <row r="54" spans="12:34" x14ac:dyDescent="0.35">
      <c r="L54" s="68">
        <f t="shared" si="18"/>
        <v>510</v>
      </c>
      <c r="M54" cm="1">
        <f t="array" ref="M54">L54/Linterp(M$5,atmos_h,atmos_aspeed)</f>
        <v>0.45680505172645436</v>
      </c>
      <c r="N54" cm="1">
        <f t="array" ref="N54">1*W/(S*0.5*Linterp(M$5,atmos_h,atmos_rho)*L54*L54)</f>
        <v>7.7025246480619286E-2</v>
      </c>
      <c r="O54">
        <f t="shared" si="20"/>
        <v>2.036783909291481E-2</v>
      </c>
      <c r="P54">
        <f t="shared" si="1"/>
        <v>237.98762121761854</v>
      </c>
      <c r="Q54">
        <f t="shared" si="21"/>
        <v>-2.2916540872072222</v>
      </c>
      <c r="R54">
        <f t="shared" si="8"/>
        <v>30575.527045885512</v>
      </c>
      <c r="S54">
        <f t="shared" si="9"/>
        <v>-1223.5791213990299</v>
      </c>
      <c r="T54">
        <f t="shared" si="22"/>
        <v>15.333127072078298</v>
      </c>
      <c r="U54">
        <f t="shared" si="10"/>
        <v>29510.78357689167</v>
      </c>
      <c r="V54" s="69">
        <f t="shared" si="11"/>
        <v>8091.5791213990306</v>
      </c>
      <c r="X54" s="68">
        <f t="shared" si="19"/>
        <v>510</v>
      </c>
      <c r="Y54" cm="1">
        <f t="array" ref="Y54">X54/Linterp($Y$5,atmos_h,atmos_aspeed)</f>
        <v>0.49187272579680086</v>
      </c>
      <c r="Z54" cm="1">
        <f t="array" ref="Z54">1*W/(S*0.5*Linterp($Y$5,atmos_h,atmos_rho)*X54*X54)</f>
        <v>0.14456630428577538</v>
      </c>
      <c r="AA54">
        <f t="shared" si="23"/>
        <v>2.1295763812760538E-2</v>
      </c>
      <c r="AB54">
        <f t="shared" si="5"/>
        <v>132.5771418600921</v>
      </c>
      <c r="AC54">
        <f t="shared" si="24"/>
        <v>-1.5886396102793066</v>
      </c>
      <c r="AD54">
        <f t="shared" si="12"/>
        <v>30588.238326587198</v>
      </c>
      <c r="AE54">
        <f t="shared" si="13"/>
        <v>-848.33724184541177</v>
      </c>
      <c r="AF54">
        <f t="shared" si="25"/>
        <v>8.4709495503990997</v>
      </c>
      <c r="AG54">
        <f t="shared" si="14"/>
        <v>30266.174791066307</v>
      </c>
      <c r="AH54" s="69">
        <f t="shared" si="15"/>
        <v>4507.6228232431322</v>
      </c>
    </row>
    <row r="55" spans="12:34" x14ac:dyDescent="0.35">
      <c r="L55" s="68">
        <f t="shared" si="18"/>
        <v>520</v>
      </c>
      <c r="M55" cm="1">
        <f t="array" ref="M55">L55/Linterp(M$5,atmos_h,atmos_aspeed)</f>
        <v>0.46576201352501229</v>
      </c>
      <c r="N55" cm="1">
        <f t="array" ref="N55">1*W/(S*0.5*Linterp(M$5,atmos_h,atmos_rho)*L55*L55)</f>
        <v>7.4091222668672629E-2</v>
      </c>
      <c r="O55">
        <f t="shared" si="20"/>
        <v>2.0340349575145408E-2</v>
      </c>
      <c r="P55">
        <f t="shared" si="1"/>
        <v>247.0780472809119</v>
      </c>
      <c r="Q55">
        <f t="shared" si="21"/>
        <v>-2.8709588601132574</v>
      </c>
      <c r="R55">
        <f t="shared" si="8"/>
        <v>31160.840025352558</v>
      </c>
      <c r="S55">
        <f t="shared" si="9"/>
        <v>-1562.7056390716127</v>
      </c>
      <c r="T55">
        <f t="shared" si="22"/>
        <v>15.934076533560861</v>
      </c>
      <c r="U55">
        <f t="shared" si="10"/>
        <v>30001.239928777806</v>
      </c>
      <c r="V55" s="69">
        <f t="shared" si="11"/>
        <v>8565.3723057382776</v>
      </c>
      <c r="X55" s="68">
        <f t="shared" si="19"/>
        <v>520</v>
      </c>
      <c r="Y55" cm="1">
        <f t="array" ref="Y55">X55/Linterp($Y$5,atmos_h,atmos_aspeed)</f>
        <v>0.50151728904771853</v>
      </c>
      <c r="Z55" cm="1">
        <f t="array" ref="Z55">1*W/(S*0.5*Linterp($Y$5,atmos_h,atmos_rho)*X55*X55)</f>
        <v>0.13905952568317373</v>
      </c>
      <c r="AA55">
        <f t="shared" si="23"/>
        <v>2.1198928204360215E-2</v>
      </c>
      <c r="AB55">
        <f t="shared" si="5"/>
        <v>137.20049230854499</v>
      </c>
      <c r="AC55">
        <f t="shared" si="24"/>
        <v>-1.8831066991016092</v>
      </c>
      <c r="AD55">
        <f t="shared" si="12"/>
        <v>31183.150380573647</v>
      </c>
      <c r="AE55">
        <f t="shared" si="13"/>
        <v>-1025.2474542907084</v>
      </c>
      <c r="AF55">
        <f t="shared" si="25"/>
        <v>8.7686440749443388</v>
      </c>
      <c r="AG55">
        <f t="shared" si="14"/>
        <v>30835.333062053138</v>
      </c>
      <c r="AH55" s="69">
        <f t="shared" si="15"/>
        <v>4756.2837333628931</v>
      </c>
    </row>
    <row r="56" spans="12:34" x14ac:dyDescent="0.35">
      <c r="L56" s="68">
        <f t="shared" si="18"/>
        <v>530</v>
      </c>
      <c r="M56" cm="1">
        <f t="array" ref="M56">L56/Linterp(M$5,atmos_h,atmos_aspeed)</f>
        <v>0.47471897532357021</v>
      </c>
      <c r="N56" cm="1">
        <f t="array" ref="N56">1*W/(S*0.5*Linterp(M$5,atmos_h,atmos_rho)*L56*L56)</f>
        <v>7.1321703843392953E-2</v>
      </c>
      <c r="O56">
        <f t="shared" si="20"/>
        <v>2.0315380697225729E-2</v>
      </c>
      <c r="P56">
        <f t="shared" si="1"/>
        <v>256.35734485046123</v>
      </c>
      <c r="Q56">
        <f t="shared" si="21"/>
        <v>-3.462603379904035</v>
      </c>
      <c r="R56">
        <f t="shared" si="8"/>
        <v>31741.946932388724</v>
      </c>
      <c r="S56">
        <f t="shared" si="9"/>
        <v>-1920.6261847162968</v>
      </c>
      <c r="T56">
        <f t="shared" si="22"/>
        <v>16.54937417338023</v>
      </c>
      <c r="U56">
        <f t="shared" si="10"/>
        <v>30482.673264813471</v>
      </c>
      <c r="V56" s="69">
        <f t="shared" si="11"/>
        <v>9057.9595180496308</v>
      </c>
      <c r="X56" s="68">
        <f t="shared" si="19"/>
        <v>530</v>
      </c>
      <c r="Y56" cm="1">
        <f t="array" ref="Y56">X56/Linterp($Y$5,atmos_h,atmos_aspeed)</f>
        <v>0.5111618522986362</v>
      </c>
      <c r="Z56" cm="1">
        <f t="array" ref="Z56">1*W/(S*0.5*Linterp($Y$5,atmos_h,atmos_rho)*X56*X56)</f>
        <v>0.13386150140523381</v>
      </c>
      <c r="AA56">
        <f t="shared" si="23"/>
        <v>2.1110971896624732E-2</v>
      </c>
      <c r="AB56">
        <f t="shared" si="5"/>
        <v>141.93681161131357</v>
      </c>
      <c r="AC56">
        <f t="shared" si="24"/>
        <v>-2.1848205897951924</v>
      </c>
      <c r="AD56">
        <f t="shared" si="12"/>
        <v>31776.883036137137</v>
      </c>
      <c r="AE56">
        <f t="shared" si="13"/>
        <v>-1212.3137001864297</v>
      </c>
      <c r="AF56">
        <f t="shared" si="25"/>
        <v>9.0738602626116815</v>
      </c>
      <c r="AG56">
        <f t="shared" si="14"/>
        <v>31402.050334336851</v>
      </c>
      <c r="AH56" s="69">
        <f t="shared" si="15"/>
        <v>5015.1006769330788</v>
      </c>
    </row>
    <row r="57" spans="12:34" x14ac:dyDescent="0.35">
      <c r="L57" s="68">
        <f t="shared" si="18"/>
        <v>540</v>
      </c>
      <c r="M57" cm="1">
        <f t="array" ref="M57">L57/Linterp(M$5,atmos_h,atmos_aspeed)</f>
        <v>0.48367593712212814</v>
      </c>
      <c r="N57" cm="1">
        <f t="array" ref="N57">1*W/(S*0.5*Linterp(M$5,atmos_h,atmos_rho)*L57*L57)</f>
        <v>6.8704618002774623E-2</v>
      </c>
      <c r="O57">
        <f t="shared" si="20"/>
        <v>2.0292660121164246E-2</v>
      </c>
      <c r="P57">
        <f t="shared" ref="P57:P65" si="26">W*O57/N57</f>
        <v>265.82484030855477</v>
      </c>
      <c r="Q57">
        <f t="shared" si="21"/>
        <v>-4.0666290139753691</v>
      </c>
      <c r="R57">
        <f t="shared" si="8"/>
        <v>32318.425102848458</v>
      </c>
      <c r="S57">
        <f t="shared" si="9"/>
        <v>-2297.6942511079719</v>
      </c>
      <c r="T57">
        <f t="shared" si="22"/>
        <v>17.179181790664366</v>
      </c>
      <c r="U57">
        <f t="shared" si="10"/>
        <v>30954.498088974258</v>
      </c>
      <c r="V57" s="69">
        <f t="shared" si="11"/>
        <v>9569.6942511079724</v>
      </c>
      <c r="X57" s="68">
        <f t="shared" si="19"/>
        <v>540</v>
      </c>
      <c r="Y57" cm="1">
        <f t="array" ref="Y57">X57/Linterp($Y$5,atmos_h,atmos_aspeed)</f>
        <v>0.52080641554955387</v>
      </c>
      <c r="Z57" cm="1">
        <f t="array" ref="Z57">1*W/(S*0.5*Linterp($Y$5,atmos_h,atmos_rho)*X57*X57)</f>
        <v>0.12894957388453421</v>
      </c>
      <c r="AA57">
        <f t="shared" si="23"/>
        <v>2.1030935541510185E-2</v>
      </c>
      <c r="AB57">
        <f t="shared" si="5"/>
        <v>146.78483547613575</v>
      </c>
      <c r="AC57">
        <f t="shared" si="24"/>
        <v>-2.493713162048746</v>
      </c>
      <c r="AD57">
        <f t="shared" si="12"/>
        <v>32369.317256684652</v>
      </c>
      <c r="AE57">
        <f t="shared" si="13"/>
        <v>-1409.7164027197723</v>
      </c>
      <c r="AF57">
        <f t="shared" si="25"/>
        <v>9.3865441078215071</v>
      </c>
      <c r="AG57">
        <f t="shared" si="14"/>
        <v>31966.179922665451</v>
      </c>
      <c r="AH57" s="69">
        <f t="shared" si="15"/>
        <v>5284.2540771408876</v>
      </c>
    </row>
    <row r="58" spans="12:34" x14ac:dyDescent="0.35">
      <c r="L58" s="68">
        <f t="shared" si="18"/>
        <v>550</v>
      </c>
      <c r="M58" cm="1">
        <f t="array" ref="M58">L58/Linterp(M$5,atmos_h,atmos_aspeed)</f>
        <v>0.49263289892068607</v>
      </c>
      <c r="N58" cm="1">
        <f t="array" ref="N58">1*W/(S*0.5*Linterp(M$5,atmos_h,atmos_rho)*L58*L58)</f>
        <v>6.6228980527633319E-2</v>
      </c>
      <c r="O58">
        <f t="shared" si="20"/>
        <v>2.0271949227427238E-2</v>
      </c>
      <c r="P58">
        <f t="shared" si="26"/>
        <v>275.47992071344186</v>
      </c>
      <c r="Q58">
        <f t="shared" si="21"/>
        <v>-4.6830896570083942</v>
      </c>
      <c r="R58">
        <f t="shared" si="8"/>
        <v>32889.830385611342</v>
      </c>
      <c r="S58">
        <f t="shared" si="9"/>
        <v>-2694.2637594928683</v>
      </c>
      <c r="T58">
        <f t="shared" si="22"/>
        <v>17.82368075924532</v>
      </c>
      <c r="U58">
        <f t="shared" si="10"/>
        <v>31416.097856447494</v>
      </c>
      <c r="V58" s="69">
        <f t="shared" si="11"/>
        <v>10100.930426159533</v>
      </c>
      <c r="X58" s="68">
        <f t="shared" si="19"/>
        <v>550</v>
      </c>
      <c r="Y58" cm="1">
        <f t="array" ref="Y58">X58/Linterp($Y$5,atmos_h,atmos_aspeed)</f>
        <v>0.53045097880047154</v>
      </c>
      <c r="Z58" cm="1">
        <f t="array" ref="Z58">1*W/(S*0.5*Linterp($Y$5,atmos_h,atmos_rho)*X58*X58)</f>
        <v>0.12430312642886009</v>
      </c>
      <c r="AA58">
        <f t="shared" si="23"/>
        <v>2.0957978568879328E-2</v>
      </c>
      <c r="AB58">
        <f t="shared" si="5"/>
        <v>151.7434134915859</v>
      </c>
      <c r="AC58">
        <f t="shared" si="24"/>
        <v>-2.8097248234108538</v>
      </c>
      <c r="AD58">
        <f t="shared" si="12"/>
        <v>32960.328445238891</v>
      </c>
      <c r="AE58">
        <f t="shared" si="13"/>
        <v>-1617.6367892625697</v>
      </c>
      <c r="AF58">
        <f t="shared" si="25"/>
        <v>9.7066505383516901</v>
      </c>
      <c r="AG58">
        <f t="shared" si="14"/>
        <v>32527.568873169817</v>
      </c>
      <c r="AH58" s="69">
        <f t="shared" si="15"/>
        <v>5563.9251613581491</v>
      </c>
    </row>
    <row r="59" spans="12:34" x14ac:dyDescent="0.35">
      <c r="L59" s="68">
        <f t="shared" si="18"/>
        <v>560</v>
      </c>
      <c r="M59" cm="1">
        <f t="array" ref="M59">L59/Linterp(M$5,atmos_h,atmos_aspeed)</f>
        <v>0.50158986071924405</v>
      </c>
      <c r="N59" cm="1">
        <f t="array" ref="N59">1*W/(S*0.5*Linterp(M$5,atmos_h,atmos_rho)*L59*L59)</f>
        <v>6.3884778729620784E-2</v>
      </c>
      <c r="O59">
        <f t="shared" si="20"/>
        <v>2.0253038427106622E-2</v>
      </c>
      <c r="P59">
        <f t="shared" si="26"/>
        <v>285.3220273571128</v>
      </c>
      <c r="Q59">
        <f t="shared" si="21"/>
        <v>-5.3120518395181939</v>
      </c>
      <c r="R59">
        <f t="shared" si="8"/>
        <v>33455.696283481586</v>
      </c>
      <c r="S59">
        <f t="shared" si="9"/>
        <v>-3110.6890213322108</v>
      </c>
      <c r="T59">
        <f t="shared" si="22"/>
        <v>18.483072838211029</v>
      </c>
      <c r="U59">
        <f t="shared" si="10"/>
        <v>31866.823182672375</v>
      </c>
      <c r="V59" s="69">
        <f t="shared" si="11"/>
        <v>10652.022354665545</v>
      </c>
      <c r="X59" s="68">
        <f t="shared" si="19"/>
        <v>560</v>
      </c>
      <c r="Y59" cm="1">
        <f t="array" ref="Y59">X59/Linterp($Y$5,atmos_h,atmos_aspeed)</f>
        <v>0.54009554205138921</v>
      </c>
      <c r="Z59" cm="1">
        <f t="array" ref="Z59">1*W/(S*0.5*Linterp($Y$5,atmos_h,atmos_rho)*X59*X59)</f>
        <v>0.11990336653294061</v>
      </c>
      <c r="AA59">
        <f t="shared" si="23"/>
        <v>2.0891362672967827E-2</v>
      </c>
      <c r="AB59">
        <f t="shared" si="5"/>
        <v>156.81149703586996</v>
      </c>
      <c r="AC59">
        <f t="shared" si="24"/>
        <v>-3.1328037989417838</v>
      </c>
      <c r="AD59">
        <f t="shared" si="12"/>
        <v>33549.786301742461</v>
      </c>
      <c r="AE59">
        <f t="shared" si="13"/>
        <v>-1836.2568195691001</v>
      </c>
      <c r="AF59">
        <f t="shared" si="25"/>
        <v>10.034142727547774</v>
      </c>
      <c r="AG59">
        <f t="shared" si="14"/>
        <v>33086.057783303026</v>
      </c>
      <c r="AH59" s="69">
        <f t="shared" si="15"/>
        <v>5854.295889339146</v>
      </c>
    </row>
    <row r="60" spans="12:34" x14ac:dyDescent="0.35">
      <c r="L60" s="68">
        <f t="shared" si="18"/>
        <v>570</v>
      </c>
      <c r="M60" cm="1">
        <f t="array" ref="M60">L60/Linterp(M$5,atmos_h,atmos_aspeed)</f>
        <v>0.51054682251780192</v>
      </c>
      <c r="N60" cm="1">
        <f t="array" ref="N60">1*W/(S*0.5*Linterp(M$5,atmos_h,atmos_rho)*L60*L60)</f>
        <v>6.1662870451243697E-2</v>
      </c>
      <c r="O60">
        <f t="shared" si="20"/>
        <v>2.0235743194721784E-2</v>
      </c>
      <c r="P60">
        <f t="shared" si="26"/>
        <v>295.35065010717938</v>
      </c>
      <c r="Q60">
        <f t="shared" si="21"/>
        <v>-5.9535949253579128</v>
      </c>
      <c r="R60">
        <f t="shared" si="8"/>
        <v>34015.533031894047</v>
      </c>
      <c r="S60">
        <f t="shared" si="9"/>
        <v>-3547.3247040728161</v>
      </c>
      <c r="T60">
        <f t="shared" si="22"/>
        <v>19.157581153347781</v>
      </c>
      <c r="U60">
        <f t="shared" si="10"/>
        <v>32305.989887123855</v>
      </c>
      <c r="V60" s="69">
        <f t="shared" si="11"/>
        <v>11223.324704072817</v>
      </c>
      <c r="X60" s="68">
        <f t="shared" si="19"/>
        <v>570</v>
      </c>
      <c r="Y60" cm="1">
        <f t="array" ref="Y60">X60/Linterp($Y$5,atmos_h,atmos_aspeed)</f>
        <v>0.54974010530230688</v>
      </c>
      <c r="Z60" cm="1">
        <f t="array" ref="Z60">1*W/(S*0.5*Linterp($Y$5,atmos_h,atmos_rho)*X60*X60)</f>
        <v>0.11573313556395869</v>
      </c>
      <c r="AA60">
        <f t="shared" si="23"/>
        <v>2.0830437837382872E-2</v>
      </c>
      <c r="AB60">
        <f t="shared" si="5"/>
        <v>161.98812865727669</v>
      </c>
      <c r="AC60">
        <f t="shared" si="24"/>
        <v>-3.4629055170981471</v>
      </c>
      <c r="AD60">
        <f t="shared" si="12"/>
        <v>34137.554675925559</v>
      </c>
      <c r="AE60">
        <f t="shared" si="13"/>
        <v>-2065.759121532004</v>
      </c>
      <c r="AF60">
        <f t="shared" si="25"/>
        <v>10.368991504291639</v>
      </c>
      <c r="AG60">
        <f t="shared" si="14"/>
        <v>33641.4806136029</v>
      </c>
      <c r="AH60" s="69">
        <f t="shared" si="15"/>
        <v>6155.5488889765147</v>
      </c>
    </row>
    <row r="61" spans="12:34" x14ac:dyDescent="0.35">
      <c r="L61" s="68">
        <f t="shared" si="18"/>
        <v>580</v>
      </c>
      <c r="M61" cm="1">
        <f t="array" ref="M61">L61/Linterp(M$5,atmos_h,atmos_aspeed)</f>
        <v>0.51950378431635991</v>
      </c>
      <c r="N61" cm="1">
        <f t="array" ref="N61">1*W/(S*0.5*Linterp(M$5,atmos_h,atmos_rho)*L61*L61)</f>
        <v>5.9554894796697608E-2</v>
      </c>
      <c r="O61">
        <f t="shared" si="20"/>
        <v>2.0219900700643233E-2</v>
      </c>
      <c r="P61">
        <f t="shared" si="26"/>
        <v>305.56532242565572</v>
      </c>
      <c r="Q61">
        <f t="shared" si="21"/>
        <v>-6.6078113954529778</v>
      </c>
      <c r="R61">
        <f t="shared" si="8"/>
        <v>34568.826608860487</v>
      </c>
      <c r="S61">
        <f t="shared" si="9"/>
        <v>-4004.5258004586881</v>
      </c>
      <c r="T61">
        <f t="shared" si="22"/>
        <v>19.847451358358022</v>
      </c>
      <c r="U61">
        <f t="shared" si="10"/>
        <v>32732.876851336852</v>
      </c>
      <c r="V61" s="69">
        <f t="shared" si="11"/>
        <v>11815.192467125356</v>
      </c>
      <c r="X61" s="68">
        <f t="shared" si="19"/>
        <v>580</v>
      </c>
      <c r="Y61" cm="1">
        <f t="array" ref="Y61">X61/Linterp($Y$5,atmos_h,atmos_aspeed)</f>
        <v>0.55938466855322455</v>
      </c>
      <c r="Z61" cm="1">
        <f t="array" ref="Z61">1*W/(S*0.5*Linterp($Y$5,atmos_h,atmos_rho)*X61*X61)</f>
        <v>0.11177674121501241</v>
      </c>
      <c r="AA61">
        <f t="shared" si="23"/>
        <v>2.0774630472352167E-2</v>
      </c>
      <c r="AB61">
        <f t="shared" si="5"/>
        <v>167.27243272508096</v>
      </c>
      <c r="AC61">
        <f t="shared" si="24"/>
        <v>-3.7999920791667412</v>
      </c>
      <c r="AD61">
        <f t="shared" si="12"/>
        <v>34723.491415400968</v>
      </c>
      <c r="AE61">
        <f t="shared" si="13"/>
        <v>-2306.3269335841555</v>
      </c>
      <c r="AF61">
        <f t="shared" si="25"/>
        <v>10.711174848169243</v>
      </c>
      <c r="AG61">
        <f t="shared" si="14"/>
        <v>34193.66449084966</v>
      </c>
      <c r="AH61" s="69">
        <f t="shared" si="15"/>
        <v>6467.8673987031307</v>
      </c>
    </row>
    <row r="62" spans="12:34" x14ac:dyDescent="0.35">
      <c r="L62" s="68">
        <f t="shared" si="18"/>
        <v>590</v>
      </c>
      <c r="M62" cm="1">
        <f t="array" ref="M62">L62/Linterp(M$5,atmos_h,atmos_aspeed)</f>
        <v>0.52846074611491778</v>
      </c>
      <c r="N62" cm="1">
        <f t="array" ref="N62">1*W/(S*0.5*Linterp(M$5,atmos_h,atmos_rho)*L62*L62)</f>
        <v>5.7553193362852854E-2</v>
      </c>
      <c r="O62">
        <f t="shared" si="20"/>
        <v>2.0205366944108238E-2</v>
      </c>
      <c r="P62">
        <f t="shared" si="26"/>
        <v>315.96561697364712</v>
      </c>
      <c r="Q62">
        <f t="shared" si="21"/>
        <v>-7.2748072166125937</v>
      </c>
      <c r="R62">
        <f t="shared" si="8"/>
        <v>35115.037668861711</v>
      </c>
      <c r="S62">
        <f t="shared" si="9"/>
        <v>-4482.6476009634544</v>
      </c>
      <c r="T62">
        <f t="shared" si="22"/>
        <v>20.552952988218209</v>
      </c>
      <c r="U62">
        <f t="shared" si="10"/>
        <v>33146.723667607861</v>
      </c>
      <c r="V62" s="69">
        <f t="shared" si="11"/>
        <v>12427.980934296787</v>
      </c>
      <c r="X62" s="68">
        <f t="shared" si="19"/>
        <v>590</v>
      </c>
      <c r="Y62" cm="1">
        <f t="array" ref="Y62">X62/Linterp($Y$5,atmos_h,atmos_aspeed)</f>
        <v>0.56902923180414222</v>
      </c>
      <c r="Z62" cm="1">
        <f t="array" ref="Z62">1*W/(S*0.5*Linterp($Y$5,atmos_h,atmos_rho)*X62*X62)</f>
        <v>0.10801980966598729</v>
      </c>
      <c r="AA62">
        <f t="shared" si="23"/>
        <v>2.072343331537712E-2</v>
      </c>
      <c r="AB62">
        <f t="shared" si="5"/>
        <v>172.66360718012047</v>
      </c>
      <c r="AC62">
        <f t="shared" si="24"/>
        <v>-4.1440318015147986</v>
      </c>
      <c r="AD62">
        <f t="shared" si="12"/>
        <v>35307.44820861904</v>
      </c>
      <c r="AE62">
        <f t="shared" si="13"/>
        <v>-2558.1440529579645</v>
      </c>
      <c r="AF62">
        <f t="shared" si="25"/>
        <v>11.0606774592425</v>
      </c>
      <c r="AG62">
        <f t="shared" si="14"/>
        <v>34742.429502126819</v>
      </c>
      <c r="AH62" s="69">
        <f t="shared" si="15"/>
        <v>6791.4352157514049</v>
      </c>
    </row>
    <row r="63" spans="12:34" x14ac:dyDescent="0.35">
      <c r="L63" s="68">
        <f t="shared" si="18"/>
        <v>600</v>
      </c>
      <c r="M63" cm="1">
        <f t="array" ref="M63">L63/Linterp(M$5,atmos_h,atmos_aspeed)</f>
        <v>0.53741770791347576</v>
      </c>
      <c r="N63" cm="1">
        <f t="array" ref="N63">1*W/(S*0.5*Linterp(M$5,atmos_h,atmos_rho)*L63*L63)</f>
        <v>5.5650740582247435E-2</v>
      </c>
      <c r="O63">
        <f t="shared" si="20"/>
        <v>2.0192014305495862E-2</v>
      </c>
      <c r="P63">
        <f t="shared" si="26"/>
        <v>326.55114172448941</v>
      </c>
      <c r="Q63">
        <f t="shared" si="21"/>
        <v>-7.9547022957400859</v>
      </c>
      <c r="R63">
        <f t="shared" si="8"/>
        <v>35653.600392557863</v>
      </c>
      <c r="S63">
        <f t="shared" si="9"/>
        <v>-4982.0456689795774</v>
      </c>
      <c r="T63">
        <f t="shared" si="22"/>
        <v>21.274381020800984</v>
      </c>
      <c r="U63">
        <f t="shared" si="10"/>
        <v>33546.728051204809</v>
      </c>
      <c r="V63" s="69">
        <f t="shared" si="11"/>
        <v>13062.045668979574</v>
      </c>
      <c r="X63" s="68">
        <f t="shared" si="19"/>
        <v>600</v>
      </c>
      <c r="Y63" cm="1">
        <f t="array" ref="Y63">X63/Linterp($Y$5,atmos_h,atmos_aspeed)</f>
        <v>0.57867379505505989</v>
      </c>
      <c r="Z63" cm="1">
        <f t="array" ref="Z63">1*W/(S*0.5*Linterp($Y$5,atmos_h,atmos_rho)*X63*X63)</f>
        <v>0.1044491548464727</v>
      </c>
      <c r="AA63">
        <f t="shared" si="23"/>
        <v>2.067639680878483E-2</v>
      </c>
      <c r="AB63">
        <f t="shared" si="5"/>
        <v>178.16091623966619</v>
      </c>
      <c r="AC63">
        <f t="shared" si="24"/>
        <v>-4.4949988215559857</v>
      </c>
      <c r="AD63">
        <f t="shared" si="12"/>
        <v>35889.270422285459</v>
      </c>
      <c r="AE63">
        <f t="shared" si="13"/>
        <v>-2821.3947891187422</v>
      </c>
      <c r="AF63">
        <f t="shared" si="25"/>
        <v>11.417490393476347</v>
      </c>
      <c r="AG63">
        <f t="shared" si="14"/>
        <v>35287.588479229184</v>
      </c>
      <c r="AH63" s="69">
        <f t="shared" si="15"/>
        <v>7126.436649586647</v>
      </c>
    </row>
    <row r="64" spans="12:34" x14ac:dyDescent="0.35">
      <c r="L64" s="68">
        <f t="shared" si="18"/>
        <v>610</v>
      </c>
      <c r="M64" cm="1">
        <f t="array" ref="M64">L64/Linterp(M$5,atmos_h,atmos_aspeed)</f>
        <v>0.54637466971203363</v>
      </c>
      <c r="N64" cm="1">
        <f t="array" ref="N64">1*W/(S*0.5*Linterp(M$5,atmos_h,atmos_rho)*L64*L64)</f>
        <v>5.384108199303702E-2</v>
      </c>
      <c r="O64">
        <f t="shared" si="20"/>
        <v>2.017972945083122E-2</v>
      </c>
      <c r="P64">
        <f t="shared" si="26"/>
        <v>337.32153651921152</v>
      </c>
      <c r="Q64">
        <f t="shared" si="21"/>
        <v>-8.6476310211827627</v>
      </c>
      <c r="R64">
        <f t="shared" si="8"/>
        <v>36183.921243231969</v>
      </c>
      <c r="S64">
        <f t="shared" si="9"/>
        <v>-5503.0758184479346</v>
      </c>
      <c r="T64">
        <f t="shared" si="22"/>
        <v>22.01205766704911</v>
      </c>
      <c r="U64">
        <f t="shared" si="10"/>
        <v>33932.042984649212</v>
      </c>
      <c r="V64" s="69">
        <f t="shared" si="11"/>
        <v>13717.742485114602</v>
      </c>
      <c r="X64" s="68">
        <f t="shared" si="19"/>
        <v>610</v>
      </c>
      <c r="Y64" cm="1">
        <f t="array" ref="Y64">X64/Linterp($Y$5,atmos_h,atmos_aspeed)</f>
        <v>0.58831835830597756</v>
      </c>
      <c r="Z64" cm="1">
        <f t="array" ref="Z64">1*W/(S*0.5*Linterp($Y$5,atmos_h,atmos_rho)*X64*X64)</f>
        <v>0.10105266257653903</v>
      </c>
      <c r="AA64">
        <f t="shared" si="23"/>
        <v>2.0633121718056088E-2</v>
      </c>
      <c r="AB64">
        <f t="shared" si="5"/>
        <v>183.76368393247813</v>
      </c>
      <c r="AC64">
        <f t="shared" si="24"/>
        <v>-4.8528727597018486</v>
      </c>
      <c r="AD64">
        <f t="shared" si="12"/>
        <v>36468.796932812213</v>
      </c>
      <c r="AE64">
        <f t="shared" si="13"/>
        <v>-3096.2639217784067</v>
      </c>
      <c r="AF64">
        <f t="shared" si="25"/>
        <v>11.781610756257187</v>
      </c>
      <c r="AG64">
        <f t="shared" si="14"/>
        <v>35828.946772796909</v>
      </c>
      <c r="AH64" s="69">
        <f t="shared" si="15"/>
        <v>7473.0564799207796</v>
      </c>
    </row>
    <row r="65" spans="12:34" x14ac:dyDescent="0.35">
      <c r="L65" s="70">
        <f t="shared" si="18"/>
        <v>620</v>
      </c>
      <c r="M65" cm="1">
        <f t="array" ref="M65">L65/Linterp(M$5,atmos_h,atmos_aspeed)</f>
        <v>0.55533163151059162</v>
      </c>
      <c r="N65" cm="1">
        <f t="array" ref="N65">1*W/(S*0.5*Linterp(M$5,atmos_h,atmos_rho)*L65*L65)</f>
        <v>5.2118279421459621E-2</v>
      </c>
      <c r="O65" s="32">
        <f t="shared" si="20"/>
        <v>2.0168411533090909E-2</v>
      </c>
      <c r="P65" s="32">
        <f t="shared" si="26"/>
        <v>348.27647000771748</v>
      </c>
      <c r="Q65" s="32">
        <f t="shared" si="21"/>
        <v>-9.3537428943667162</v>
      </c>
      <c r="R65">
        <f t="shared" si="8"/>
        <v>36705.37761978076</v>
      </c>
      <c r="S65">
        <f t="shared" si="9"/>
        <v>-6046.0940936523211</v>
      </c>
      <c r="T65">
        <f t="shared" si="22"/>
        <v>22.766334414702133</v>
      </c>
      <c r="U65">
        <f t="shared" si="10"/>
        <v>34301.773557563887</v>
      </c>
      <c r="V65" s="69">
        <f t="shared" si="11"/>
        <v>14395.42742698566</v>
      </c>
      <c r="X65" s="70">
        <f t="shared" si="19"/>
        <v>620</v>
      </c>
      <c r="Y65" s="32" cm="1">
        <f t="array" ref="Y65">X65/Linterp($Y$5,atmos_h,atmos_aspeed)</f>
        <v>0.59796292155689523</v>
      </c>
      <c r="Z65" s="32" cm="1">
        <f t="array" ref="Z65">1*W/(S*0.5*Linterp($Y$5,atmos_h,atmos_rho)*X65*X65)</f>
        <v>9.7819187681400036E-2</v>
      </c>
      <c r="AA65" s="32">
        <f t="shared" si="23"/>
        <v>2.0593252795676236E-2</v>
      </c>
      <c r="AB65" s="32">
        <f t="shared" si="5"/>
        <v>189.47128835780316</v>
      </c>
      <c r="AC65">
        <f t="shared" si="24"/>
        <v>-5.2176384307233183</v>
      </c>
      <c r="AD65">
        <f t="shared" si="12"/>
        <v>37045.859951340281</v>
      </c>
      <c r="AE65">
        <f t="shared" si="13"/>
        <v>-3382.9366629723618</v>
      </c>
      <c r="AF65">
        <f t="shared" si="25"/>
        <v>12.153041447609215</v>
      </c>
      <c r="AG65">
        <f t="shared" si="14"/>
        <v>36366.302015486828</v>
      </c>
      <c r="AH65" s="69">
        <f t="shared" si="15"/>
        <v>7831.4799187891995</v>
      </c>
    </row>
  </sheetData>
  <mergeCells count="2">
    <mergeCell ref="A2:B2"/>
    <mergeCell ref="A3:B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CEEDA-536D-45FD-BC7E-D9DE7F7200DC}">
  <dimension ref="A1"/>
  <sheetViews>
    <sheetView topLeftCell="C1" workbookViewId="0">
      <selection activeCell="U22" sqref="U22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7DD68-5D60-475D-A74D-B25DA3073B52}">
  <dimension ref="A1"/>
  <sheetViews>
    <sheetView tabSelected="1" topLeftCell="E1" workbookViewId="0">
      <selection activeCell="Q4" sqref="Q4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D5BA4-2E35-4EDA-B482-C85C9CA63E5D}">
  <dimension ref="A5:E15"/>
  <sheetViews>
    <sheetView workbookViewId="0">
      <selection activeCell="D24" sqref="D24"/>
    </sheetView>
  </sheetViews>
  <sheetFormatPr defaultRowHeight="14.5" x14ac:dyDescent="0.35"/>
  <cols>
    <col min="1" max="1" width="29.90625" customWidth="1"/>
  </cols>
  <sheetData>
    <row r="5" spans="1:5" ht="15" thickBot="1" x14ac:dyDescent="0.4"/>
    <row r="6" spans="1:5" ht="16" thickBot="1" x14ac:dyDescent="0.4">
      <c r="A6" s="53" t="s">
        <v>188</v>
      </c>
      <c r="B6" s="54" t="s">
        <v>99</v>
      </c>
      <c r="C6" s="54" t="s">
        <v>100</v>
      </c>
      <c r="D6" s="90" t="s">
        <v>72</v>
      </c>
      <c r="E6" t="s">
        <v>209</v>
      </c>
    </row>
    <row r="7" spans="1:5" ht="16" thickBot="1" x14ac:dyDescent="0.4">
      <c r="A7" s="58" t="s">
        <v>189</v>
      </c>
      <c r="B7" s="56" t="s">
        <v>59</v>
      </c>
      <c r="C7" s="56" t="s">
        <v>3</v>
      </c>
      <c r="D7" s="103">
        <f>(B$12-E7)/(-B$13)</f>
        <v>32079.447044328139</v>
      </c>
      <c r="E7">
        <v>0</v>
      </c>
    </row>
    <row r="8" spans="1:5" ht="16" thickBot="1" x14ac:dyDescent="0.4">
      <c r="A8" s="58" t="s">
        <v>190</v>
      </c>
      <c r="B8" s="56" t="s">
        <v>59</v>
      </c>
      <c r="C8" s="56" t="s">
        <v>3</v>
      </c>
      <c r="D8" s="103">
        <f t="shared" ref="D8:D9" si="0">(B$12-E8)/(-B$13)</f>
        <v>30614.72149292177</v>
      </c>
      <c r="E8">
        <v>100</v>
      </c>
    </row>
    <row r="9" spans="1:5" ht="16" thickBot="1" x14ac:dyDescent="0.4">
      <c r="A9" s="58" t="s">
        <v>191</v>
      </c>
      <c r="B9" s="56" t="s">
        <v>59</v>
      </c>
      <c r="C9" s="56" t="s">
        <v>3</v>
      </c>
      <c r="D9" s="103">
        <f t="shared" si="0"/>
        <v>27685.270390109024</v>
      </c>
      <c r="E9">
        <v>300</v>
      </c>
    </row>
    <row r="11" spans="1:5" ht="15.5" x14ac:dyDescent="0.35">
      <c r="A11" s="91" t="s">
        <v>206</v>
      </c>
    </row>
    <row r="12" spans="1:5" ht="15.5" x14ac:dyDescent="0.35">
      <c r="A12" s="91" t="s">
        <v>74</v>
      </c>
      <c r="B12">
        <f>'HW#11 Calculations'!D6</f>
        <v>2190.1336406350474</v>
      </c>
      <c r="C12" s="102" t="s">
        <v>205</v>
      </c>
    </row>
    <row r="13" spans="1:5" ht="15.5" x14ac:dyDescent="0.35">
      <c r="A13" s="91" t="s">
        <v>207</v>
      </c>
      <c r="B13">
        <f>('HW#11 Calculations'!E6-'HW#11 Calculations'!D6)/'HW#11 Calculations'!I5</f>
        <v>-6.8272175564892651E-2</v>
      </c>
      <c r="C13" s="102" t="s">
        <v>208</v>
      </c>
    </row>
    <row r="14" spans="1:5" ht="15.5" x14ac:dyDescent="0.35">
      <c r="A14" s="91"/>
    </row>
    <row r="15" spans="1:5" ht="15.5" x14ac:dyDescent="0.35">
      <c r="A15" s="91" t="s">
        <v>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25</vt:i4>
      </vt:variant>
    </vt:vector>
  </HeadingPairs>
  <TitlesOfParts>
    <vt:vector size="36" baseType="lpstr">
      <vt:lpstr>Table Key</vt:lpstr>
      <vt:lpstr>Atmospheric Table</vt:lpstr>
      <vt:lpstr>BD-5J Details</vt:lpstr>
      <vt:lpstr>HW#7 Calculations</vt:lpstr>
      <vt:lpstr>HW#8 Calculations</vt:lpstr>
      <vt:lpstr>HW#9 Calculations</vt:lpstr>
      <vt:lpstr>HW#10 Calculations</vt:lpstr>
      <vt:lpstr>HW#11 Calculations</vt:lpstr>
      <vt:lpstr>11.c) Climb Rate vs Mach Number</vt:lpstr>
      <vt:lpstr>11.d) Descend Rate vs Mach</vt:lpstr>
      <vt:lpstr>11.e) Ceiling Table</vt:lpstr>
      <vt:lpstr>atmos_aspeed</vt:lpstr>
      <vt:lpstr>atmos_dr</vt:lpstr>
      <vt:lpstr>atmos_h</vt:lpstr>
      <vt:lpstr>atmos_qms</vt:lpstr>
      <vt:lpstr>atmos_rho</vt:lpstr>
      <vt:lpstr>atmos_sqrtdr</vt:lpstr>
      <vt:lpstr>atmos_vela</vt:lpstr>
      <vt:lpstr>b</vt:lpstr>
      <vt:lpstr>CD0</vt:lpstr>
      <vt:lpstr>CL_max</vt:lpstr>
      <vt:lpstr>g</vt:lpstr>
      <vt:lpstr>K</vt:lpstr>
      <vt:lpstr>LD_max</vt:lpstr>
      <vt:lpstr>max_CL</vt:lpstr>
      <vt:lpstr>max_n</vt:lpstr>
      <vt:lpstr>min_n</vt:lpstr>
      <vt:lpstr>S</vt:lpstr>
      <vt:lpstr>T_max_SL</vt:lpstr>
      <vt:lpstr>V_1</vt:lpstr>
      <vt:lpstr>V_2</vt:lpstr>
      <vt:lpstr>vel_10k</vt:lpstr>
      <vt:lpstr>vel_10k_D</vt:lpstr>
      <vt:lpstr>vel_SL</vt:lpstr>
      <vt:lpstr>vel_SL_D</vt:lpstr>
      <vt:lpstr>W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Study</dc:creator>
  <cp:lastModifiedBy>Brice M</cp:lastModifiedBy>
  <cp:lastPrinted>2020-09-15T13:22:51Z</cp:lastPrinted>
  <dcterms:created xsi:type="dcterms:W3CDTF">2016-01-30T23:05:58Z</dcterms:created>
  <dcterms:modified xsi:type="dcterms:W3CDTF">2023-02-27T20:53:20Z</dcterms:modified>
</cp:coreProperties>
</file>